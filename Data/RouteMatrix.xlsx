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Bonnie\Dropbox\Lenovo Files\CMU\Traffic 21\Beyond the East Busway\repos\PPT_East_Busway\Data\"/>
    </mc:Choice>
  </mc:AlternateContent>
  <xr:revisionPtr revIDLastSave="0" documentId="13_ncr:1_{11876CCB-3036-4990-BCC0-AE8729E829D2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Matrix" sheetId="1" r:id="rId1"/>
    <sheet name="Alts-Districts" sheetId="2" r:id="rId2"/>
  </sheets>
  <definedNames>
    <definedName name="_xlnm._FilterDatabase" localSheetId="0" hidden="1">Matrix!$A$1:$CV$39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6" roundtripDataSignature="AMtx7miOR5wYIr8pm9sNYgp6twLtod7JPA=="/>
    </ext>
  </extLst>
</workbook>
</file>

<file path=xl/calcChain.xml><?xml version="1.0" encoding="utf-8"?>
<calcChain xmlns="http://schemas.openxmlformats.org/spreadsheetml/2006/main">
  <c r="AN31" i="2" l="1"/>
  <c r="AM31" i="2"/>
  <c r="AN30" i="2"/>
  <c r="AM30" i="2"/>
  <c r="AN28" i="2"/>
  <c r="AM28" i="2"/>
  <c r="AN27" i="2"/>
  <c r="AM27" i="2"/>
  <c r="AO22" i="2"/>
  <c r="AN22" i="2"/>
  <c r="AM22" i="2"/>
  <c r="AO21" i="2"/>
  <c r="AN21" i="2"/>
  <c r="AM21" i="2"/>
  <c r="AO20" i="2"/>
  <c r="AN20" i="2"/>
  <c r="AM20" i="2"/>
  <c r="AO19" i="2"/>
  <c r="AN19" i="2"/>
  <c r="AM19" i="2"/>
  <c r="AO18" i="2"/>
  <c r="AN18" i="2"/>
  <c r="AM18" i="2"/>
  <c r="AO17" i="2"/>
  <c r="AN17" i="2"/>
  <c r="AM17" i="2"/>
  <c r="AT13" i="2"/>
  <c r="AT8" i="2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AC17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2" i="1"/>
</calcChain>
</file>

<file path=xl/sharedStrings.xml><?xml version="1.0" encoding="utf-8"?>
<sst xmlns="http://schemas.openxmlformats.org/spreadsheetml/2006/main" count="1044" uniqueCount="230">
  <si>
    <t>Route Number</t>
  </si>
  <si>
    <t>Route Name</t>
  </si>
  <si>
    <t>Interest Area(s)</t>
  </si>
  <si>
    <t>RdTp_Length</t>
  </si>
  <si>
    <t>Service Type</t>
  </si>
  <si>
    <t>Stops_Inbound</t>
  </si>
  <si>
    <t>Stops_Outbound</t>
  </si>
  <si>
    <t>Stops_Both</t>
  </si>
  <si>
    <t># of Traffics Signals</t>
  </si>
  <si>
    <t>Walkshed Population</t>
  </si>
  <si>
    <t>Avg Equity Score</t>
  </si>
  <si>
    <t>Public Transportation Commute</t>
  </si>
  <si>
    <t>No Vehicle Households</t>
  </si>
  <si>
    <t>Median Income</t>
  </si>
  <si>
    <t>Service Garage</t>
  </si>
  <si>
    <t>Total Ridership</t>
  </si>
  <si>
    <t>1 - Pittsburgh Chateau Area</t>
  </si>
  <si>
    <t>2 - Pittsburgh Lower North Side</t>
  </si>
  <si>
    <t>3 - Pittsburgh Upper North Side</t>
  </si>
  <si>
    <t>4 - Allegheny County Northwest</t>
  </si>
  <si>
    <t>5 - Allegheny County North (remainder)</t>
  </si>
  <si>
    <t>6 - Hazelwood</t>
  </si>
  <si>
    <t>7 - Squirrel Hill</t>
  </si>
  <si>
    <t>8 - Oakland</t>
  </si>
  <si>
    <t>9 - South Side</t>
  </si>
  <si>
    <t>10 - Shadyside</t>
  </si>
  <si>
    <t>11 - Waterfront (West Homestead Homestead Munhall(part))</t>
  </si>
  <si>
    <t>12 - Downtown</t>
  </si>
  <si>
    <t>13 - East Liberty</t>
  </si>
  <si>
    <t>14 - Strip District</t>
  </si>
  <si>
    <t>15 - Pittsburgh East (remainder)</t>
  </si>
  <si>
    <t>16 - Hays Lincoln Place</t>
  </si>
  <si>
    <t>17 - Verona Oakmont Penn Hills</t>
  </si>
  <si>
    <t>18 - Plum Borough</t>
  </si>
  <si>
    <t>19 - Monroeville Pitcairn Turtle Creek</t>
  </si>
  <si>
    <t>20 - Wilkinsburg Wilkins Braddock and vicinity</t>
  </si>
  <si>
    <t>21 - Wilmerding Wall North Versailles</t>
  </si>
  <si>
    <t>22 - McKeesport White Oak</t>
  </si>
  <si>
    <t>23 - Lincoln Liberty Port Vue</t>
  </si>
  <si>
    <t>24 - Elizabeth Forward South Versailles</t>
  </si>
  <si>
    <t>25 - Munhall Whitaker Duquesne</t>
  </si>
  <si>
    <t>26 - Baldwin Brentwood Whitehall West Mifflin</t>
  </si>
  <si>
    <t>27 - Allegheny County Southeast (remainder)</t>
  </si>
  <si>
    <t>28 - Allegheny County West</t>
  </si>
  <si>
    <t>29 - Armstrong County East</t>
  </si>
  <si>
    <t>30 - Armstrong County West</t>
  </si>
  <si>
    <t>31 - Beaver County South</t>
  </si>
  <si>
    <t>32 - Beaver County North</t>
  </si>
  <si>
    <t>33 - Butler County</t>
  </si>
  <si>
    <t>34 - Fayette County</t>
  </si>
  <si>
    <t>35 - Greene County</t>
  </si>
  <si>
    <t>36 - Indiana County</t>
  </si>
  <si>
    <t>37 - Lawrence County</t>
  </si>
  <si>
    <t>38 - Washington County</t>
  </si>
  <si>
    <t>39 - Westmoreland County</t>
  </si>
  <si>
    <t>40 - Midtown/Uptown</t>
  </si>
  <si>
    <t>41 - Highland Park</t>
  </si>
  <si>
    <t>42 - Homewood/Lincoln-Lemington</t>
  </si>
  <si>
    <t>43 - Pittsburgh Southwest (remainder)</t>
  </si>
  <si>
    <t>44 - Allegheny County Southcentral</t>
  </si>
  <si>
    <t>52L</t>
  </si>
  <si>
    <t>Homeville Limited</t>
  </si>
  <si>
    <t>McKeesport and Mon Valley</t>
  </si>
  <si>
    <t>Express</t>
  </si>
  <si>
    <t>West Mifflin</t>
  </si>
  <si>
    <t>9:40am/6:20pm</t>
  </si>
  <si>
    <t>8:38am/7:10pm</t>
  </si>
  <si>
    <t>-</t>
  </si>
  <si>
    <t>N/A</t>
  </si>
  <si>
    <t>X</t>
  </si>
  <si>
    <t>Homestead Park</t>
  </si>
  <si>
    <t>Local</t>
  </si>
  <si>
    <t>11:08pm</t>
  </si>
  <si>
    <t>11:39pm</t>
  </si>
  <si>
    <t>#</t>
  </si>
  <si>
    <t>6:10pm</t>
  </si>
  <si>
    <t>6:38pm</t>
  </si>
  <si>
    <t>53L</t>
  </si>
  <si>
    <t>Homestead Park Limited</t>
  </si>
  <si>
    <t>12:12am</t>
  </si>
  <si>
    <t>EB</t>
  </si>
  <si>
    <t>P7</t>
  </si>
  <si>
    <t>P67</t>
  </si>
  <si>
    <t>P76</t>
  </si>
  <si>
    <t>P68</t>
  </si>
  <si>
    <t>P71</t>
  </si>
  <si>
    <t>61A</t>
  </si>
  <si>
    <t>61B</t>
  </si>
  <si>
    <t>61C</t>
  </si>
  <si>
    <t>61D</t>
  </si>
  <si>
    <t>71C</t>
  </si>
  <si>
    <t>71D</t>
  </si>
  <si>
    <t>P1</t>
  </si>
  <si>
    <t>P2</t>
  </si>
  <si>
    <t>P3</t>
  </si>
  <si>
    <t>P16</t>
  </si>
  <si>
    <t>P78</t>
  </si>
  <si>
    <t>Z</t>
  </si>
  <si>
    <t>McKeesport</t>
  </si>
  <si>
    <t>White Oak</t>
  </si>
  <si>
    <t>S. Versailles</t>
  </si>
  <si>
    <t>Versailles</t>
  </si>
  <si>
    <t>Monroevile</t>
  </si>
  <si>
    <t>Pitcairn</t>
  </si>
  <si>
    <t>Turtle Creek</t>
  </si>
  <si>
    <t>19 Mall Area</t>
  </si>
  <si>
    <t>Glassport</t>
  </si>
  <si>
    <t>Both</t>
  </si>
  <si>
    <t>12:25am</t>
  </si>
  <si>
    <t>11:41pm</t>
  </si>
  <si>
    <t>12:19am</t>
  </si>
  <si>
    <t>10:41pm</t>
  </si>
  <si>
    <t>11:19pm</t>
  </si>
  <si>
    <t>Route Info</t>
  </si>
  <si>
    <t># Routes</t>
  </si>
  <si>
    <t># "P" Routes</t>
  </si>
  <si>
    <t>Lincoln Place</t>
  </si>
  <si>
    <t>Weekday Ridership</t>
  </si>
  <si>
    <t>12:15am</t>
  </si>
  <si>
    <t>1:04am</t>
  </si>
  <si>
    <t>10:40pm</t>
  </si>
  <si>
    <t>11:32pm</t>
  </si>
  <si>
    <t>11:29pm</t>
  </si>
  <si>
    <t># Bus Round-Trips</t>
  </si>
  <si>
    <t>Rides/Round-Trip</t>
  </si>
  <si>
    <t>#RT "P" Routes</t>
  </si>
  <si>
    <t>AM Peak headway</t>
  </si>
  <si>
    <t>Hazelwood</t>
  </si>
  <si>
    <t>11:45pm</t>
  </si>
  <si>
    <t>12:10am</t>
  </si>
  <si>
    <t>12:45am</t>
  </si>
  <si>
    <t>Base headway</t>
  </si>
  <si>
    <t>12:42am</t>
  </si>
  <si>
    <t>Demographics</t>
  </si>
  <si>
    <t>Mon Valley</t>
  </si>
  <si>
    <t>1:12am</t>
  </si>
  <si>
    <t>1:35am</t>
  </si>
  <si>
    <t>2020 Population</t>
  </si>
  <si>
    <t>12:41am</t>
  </si>
  <si>
    <t>9:16pm</t>
  </si>
  <si>
    <t>9:37pm</t>
  </si>
  <si>
    <t>2045 Population</t>
  </si>
  <si>
    <t>Walnut Crawford Village</t>
  </si>
  <si>
    <t>2020 Employment</t>
  </si>
  <si>
    <t>2045 Employment</t>
  </si>
  <si>
    <t>2020 Pop+Emp</t>
  </si>
  <si>
    <t>8:38pm</t>
  </si>
  <si>
    <t>8:24pm</t>
  </si>
  <si>
    <t>2045 Pop+Emp</t>
  </si>
  <si>
    <t>Area (sq. mi.)</t>
  </si>
  <si>
    <t>2020 Pop. Density</t>
  </si>
  <si>
    <t>2020 Emp. Density</t>
  </si>
  <si>
    <t>Swissvale</t>
  </si>
  <si>
    <t>Key Corridor</t>
  </si>
  <si>
    <t>Braddock - Swissvale</t>
  </si>
  <si>
    <t>McKeesport - Homestead</t>
  </si>
  <si>
    <t>Murray</t>
  </si>
  <si>
    <t>Lawrenceville - Waterfront</t>
  </si>
  <si>
    <t>West Mifflin/East Liberty</t>
  </si>
  <si>
    <t>Squrrel Hill</t>
  </si>
  <si>
    <t>Monroeville</t>
  </si>
  <si>
    <t>East Liberty</t>
  </si>
  <si>
    <t>Braddock Hills</t>
  </si>
  <si>
    <t>Monroeville Interest Area</t>
  </si>
  <si>
    <t>Trafford</t>
  </si>
  <si>
    <t>Edgewood Town Center</t>
  </si>
  <si>
    <t>Point Breeze</t>
  </si>
  <si>
    <t>Hamilton</t>
  </si>
  <si>
    <t>Homewood - Squirrel Hill</t>
  </si>
  <si>
    <t>Penn Hills</t>
  </si>
  <si>
    <t>East Hills</t>
  </si>
  <si>
    <t>Liberty</t>
  </si>
  <si>
    <t>Lawrenceville - Oakland - Hazelwood</t>
  </si>
  <si>
    <t>East Busway - All Stops</t>
  </si>
  <si>
    <t>Rapid</t>
  </si>
  <si>
    <t>P12</t>
  </si>
  <si>
    <t>Holiday Park Flyer</t>
  </si>
  <si>
    <t>Penn Hills Flyer</t>
  </si>
  <si>
    <t>P17</t>
  </si>
  <si>
    <t>Lincoln Park Flyer</t>
  </si>
  <si>
    <t>East Busway Short</t>
  </si>
  <si>
    <t>East busway - Oakland</t>
  </si>
  <si>
    <t>Monroeville Flyer</t>
  </si>
  <si>
    <t>Braddock Hills Flyer</t>
  </si>
  <si>
    <t>P69</t>
  </si>
  <si>
    <t>Trafford Flyer</t>
  </si>
  <si>
    <t>McKeesport Flyer</t>
  </si>
  <si>
    <t>Swissvale Flyer</t>
  </si>
  <si>
    <t>Lincoln Highway Flyer</t>
  </si>
  <si>
    <t>Oakmont Flyer</t>
  </si>
  <si>
    <t>Saturday_Avg Ridership</t>
  </si>
  <si>
    <t>Saturday_Trips_Inbound</t>
  </si>
  <si>
    <t>Saturday_Trips_Outbound</t>
  </si>
  <si>
    <t>Saturday_Start_Inbound</t>
  </si>
  <si>
    <t>Saturday_End_InBound</t>
  </si>
  <si>
    <t>Saturday_Start_Outbound</t>
  </si>
  <si>
    <t>Saturday_End_OutBound</t>
  </si>
  <si>
    <t>Saturday_Avg_Headway_Inbound</t>
  </si>
  <si>
    <t>Saturday_Avg_Headway_Outbound</t>
  </si>
  <si>
    <t>Saturday_# of Units</t>
  </si>
  <si>
    <t>Saturday_Time_Inbound</t>
  </si>
  <si>
    <t>Saturday_Time_Outbound</t>
  </si>
  <si>
    <t>Sunday_Avg Ridership</t>
  </si>
  <si>
    <t>Sunday_Trips_Inbound</t>
  </si>
  <si>
    <t>Sunday_Trips_Outbound</t>
  </si>
  <si>
    <t>Sunday_Start_Inbound</t>
  </si>
  <si>
    <t>Sunday_End_InBound</t>
  </si>
  <si>
    <t>Sunday_Start_Outbound</t>
  </si>
  <si>
    <t>Sunday_End_OutBound</t>
  </si>
  <si>
    <t>Sunday_Avg_Headway_Inbound</t>
  </si>
  <si>
    <t>Sunday_Avg_Headway_Outbound</t>
  </si>
  <si>
    <t>Sunday_# of Units</t>
  </si>
  <si>
    <t>Sunday_Time_Inbound</t>
  </si>
  <si>
    <t>Sunday_Time_Outbound</t>
  </si>
  <si>
    <t>Weekday_Avg Ridership</t>
  </si>
  <si>
    <t>Weekday_Trips_Inbound</t>
  </si>
  <si>
    <t>Weekday_Trips_Outbound</t>
  </si>
  <si>
    <t>Weekday_Start_Inbound</t>
  </si>
  <si>
    <t>Weekday_End_InBound</t>
  </si>
  <si>
    <t>Weekday_Start_Outbound</t>
  </si>
  <si>
    <t>Weekday_End_OutBound</t>
  </si>
  <si>
    <t>Weekday_Avg_Headway_Inbound_Peak</t>
  </si>
  <si>
    <t>Weekday_Avg_Headway_Inbound_OffPeak</t>
  </si>
  <si>
    <t>Weekday_Avg_Headway_Outbound_Peak</t>
  </si>
  <si>
    <t>Weekday_Avg_Headway_Outbound_OffPeak</t>
  </si>
  <si>
    <t>Weekday_Peak_No_Units</t>
  </si>
  <si>
    <t>Weekday_Time_Inbound_Pk</t>
  </si>
  <si>
    <t>Weekday_Time_Inbound_OffPk</t>
  </si>
  <si>
    <t>Weekday_Time_Outbound_Pk</t>
  </si>
  <si>
    <t>Weekday_Time_Outbound_OffPk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</si>
</sst>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_(* #,##0.0_);_(* \(#,##0.0\);_(* &quot;-&quot;??_);_(@_)"/>
  </numFmts>
  <fonts count="16" x14ac:knownFonts="1">
    <font>
      <sz val="12"/>
      <color theme="1"/>
      <name val="Arial"/>
    </font>
    <font>
      <sz val="12"/>
      <color theme="1"/>
      <name val="Calibri"/>
    </font>
    <font>
      <sz val="12"/>
      <color rgb="FF000000"/>
      <name val="Calibri"/>
    </font>
    <font>
      <u/>
      <sz val="12"/>
      <color theme="1"/>
      <name val="Calibri"/>
    </font>
    <font>
      <u/>
      <sz val="12"/>
      <color rgb="FF00B050"/>
      <name val="Calibri"/>
    </font>
    <font>
      <u/>
      <sz val="12"/>
      <color theme="1"/>
      <name val="Calibri"/>
    </font>
    <font>
      <sz val="12"/>
      <color theme="1"/>
      <name val="Calibri"/>
    </font>
    <font>
      <sz val="12"/>
      <color rgb="FF00B050"/>
      <name val="Calibri"/>
    </font>
    <font>
      <sz val="12"/>
      <color rgb="FFFF0000"/>
      <name val="Calibri"/>
    </font>
    <font>
      <sz val="12"/>
      <color theme="1"/>
      <name val="Times New Roman"/>
    </font>
    <font>
      <sz val="12"/>
      <color rgb="FF0432FF"/>
      <name val="Calibri"/>
    </font>
    <font>
      <u/>
      <sz val="12"/>
      <color rgb="FFFF0000"/>
      <name val="Calibri"/>
    </font>
    <font>
      <u/>
      <sz val="12"/>
      <color rgb="FFFF0000"/>
      <name val="Calibri"/>
    </font>
    <font>
      <sz val="12"/>
      <name val="Arial"/>
    </font>
    <font>
      <sz val="12"/>
      <color rgb="FF000000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DFF97"/>
        <bgColor rgb="FFFDFF97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10" fontId="2" fillId="0" borderId="0" xfId="0" applyNumberFormat="1" applyFont="1" applyAlignment="1">
      <alignment horizontal="left" vertical="top"/>
    </xf>
    <xf numFmtId="10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right"/>
    </xf>
    <xf numFmtId="2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/>
    <xf numFmtId="0" fontId="2" fillId="0" borderId="0" xfId="0" applyFont="1" applyAlignment="1"/>
    <xf numFmtId="20" fontId="1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20" fontId="2" fillId="0" borderId="0" xfId="0" applyNumberFormat="1" applyFont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/>
    </xf>
    <xf numFmtId="0" fontId="9" fillId="0" borderId="7" xfId="0" applyFont="1" applyBorder="1" applyAlignment="1">
      <alignment vertical="center"/>
    </xf>
    <xf numFmtId="165" fontId="1" fillId="0" borderId="0" xfId="0" applyNumberFormat="1" applyFont="1"/>
    <xf numFmtId="165" fontId="1" fillId="0" borderId="8" xfId="0" applyNumberFormat="1" applyFont="1" applyBorder="1"/>
    <xf numFmtId="43" fontId="1" fillId="0" borderId="0" xfId="0" applyNumberFormat="1" applyFont="1"/>
    <xf numFmtId="43" fontId="1" fillId="0" borderId="8" xfId="0" applyNumberFormat="1" applyFont="1" applyBorder="1"/>
    <xf numFmtId="166" fontId="1" fillId="0" borderId="0" xfId="0" applyNumberFormat="1" applyFont="1"/>
    <xf numFmtId="166" fontId="1" fillId="0" borderId="8" xfId="0" applyNumberFormat="1" applyFont="1" applyBorder="1"/>
    <xf numFmtId="165" fontId="1" fillId="0" borderId="4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0" xfId="0" applyFont="1" applyBorder="1"/>
    <xf numFmtId="165" fontId="1" fillId="0" borderId="11" xfId="0" applyNumberFormat="1" applyFont="1" applyBorder="1"/>
    <xf numFmtId="0" fontId="1" fillId="0" borderId="12" xfId="0" applyFont="1" applyBorder="1" applyAlignment="1">
      <alignment horizontal="right"/>
    </xf>
    <xf numFmtId="10" fontId="14" fillId="0" borderId="0" xfId="0" applyNumberFormat="1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/>
    <xf numFmtId="0" fontId="1" fillId="0" borderId="2" xfId="0" applyFont="1" applyBorder="1" applyAlignment="1">
      <alignment horizontal="center" vertical="center" textRotation="180"/>
    </xf>
    <xf numFmtId="0" fontId="13" fillId="0" borderId="6" xfId="0" applyFont="1" applyBorder="1"/>
    <xf numFmtId="0" fontId="1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999"/>
  <sheetViews>
    <sheetView tabSelected="1" workbookViewId="0">
      <pane xSplit="1" ySplit="1" topLeftCell="G2" activePane="bottomRight" state="frozen"/>
      <selection pane="topRight" activeCell="B1" sqref="B1"/>
      <selection pane="bottomLeft" activeCell="A3" sqref="A3"/>
      <selection pane="bottomRight" activeCell="M1" sqref="M1"/>
    </sheetView>
  </sheetViews>
  <sheetFormatPr defaultColWidth="11.21875" defaultRowHeight="15" customHeight="1" x14ac:dyDescent="0.2"/>
  <cols>
    <col min="1" max="1" width="12.44140625" customWidth="1"/>
    <col min="2" max="2" width="31.44140625" customWidth="1"/>
    <col min="3" max="3" width="24" customWidth="1"/>
    <col min="4" max="4" width="11.6640625" customWidth="1"/>
    <col min="5" max="5" width="11" customWidth="1"/>
    <col min="6" max="6" width="12.77734375" customWidth="1"/>
    <col min="7" max="7" width="14.33203125" customWidth="1"/>
    <col min="8" max="9" width="17.109375" customWidth="1"/>
    <col min="10" max="10" width="18.21875" customWidth="1"/>
    <col min="11" max="11" width="14.33203125" customWidth="1"/>
    <col min="12" max="13" width="19.88671875" customWidth="1"/>
    <col min="14" max="16" width="13.44140625" customWidth="1"/>
    <col min="17" max="17" width="10.6640625" customWidth="1"/>
    <col min="18" max="23" width="9" customWidth="1"/>
    <col min="24" max="24" width="21.77734375" customWidth="1"/>
    <col min="25" max="25" width="24" customWidth="1"/>
    <col min="26" max="26" width="23" customWidth="1"/>
    <col min="27" max="27" width="25.21875" customWidth="1"/>
    <col min="28" max="28" width="9" customWidth="1"/>
    <col min="29" max="29" width="13.6640625" customWidth="1"/>
    <col min="30" max="30" width="15.88671875" customWidth="1"/>
    <col min="31" max="31" width="15" customWidth="1"/>
    <col min="32" max="32" width="17.21875" customWidth="1"/>
    <col min="33" max="44" width="9" customWidth="1"/>
    <col min="45" max="45" width="14.44140625" customWidth="1"/>
    <col min="46" max="100" width="9" customWidth="1"/>
  </cols>
  <sheetData>
    <row r="1" spans="1:100" s="47" customFormat="1" ht="15.75" customHeight="1" x14ac:dyDescent="0.2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2" t="s">
        <v>7</v>
      </c>
      <c r="I1" s="46" t="s">
        <v>8</v>
      </c>
      <c r="J1" s="46" t="s">
        <v>9</v>
      </c>
      <c r="K1" s="46" t="s">
        <v>10</v>
      </c>
      <c r="L1" s="2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214</v>
      </c>
      <c r="R1" s="46" t="s">
        <v>215</v>
      </c>
      <c r="S1" s="46" t="s">
        <v>216</v>
      </c>
      <c r="T1" s="46" t="s">
        <v>217</v>
      </c>
      <c r="U1" s="46" t="s">
        <v>218</v>
      </c>
      <c r="V1" s="46" t="s">
        <v>219</v>
      </c>
      <c r="W1" s="46" t="s">
        <v>220</v>
      </c>
      <c r="X1" s="46" t="s">
        <v>221</v>
      </c>
      <c r="Y1" s="46" t="s">
        <v>222</v>
      </c>
      <c r="Z1" s="46" t="s">
        <v>223</v>
      </c>
      <c r="AA1" s="46" t="s">
        <v>224</v>
      </c>
      <c r="AB1" s="46" t="s">
        <v>225</v>
      </c>
      <c r="AC1" s="46" t="s">
        <v>226</v>
      </c>
      <c r="AD1" s="46" t="s">
        <v>227</v>
      </c>
      <c r="AE1" s="46" t="s">
        <v>228</v>
      </c>
      <c r="AF1" s="46" t="s">
        <v>229</v>
      </c>
      <c r="AG1" s="46" t="s">
        <v>190</v>
      </c>
      <c r="AH1" s="46" t="s">
        <v>191</v>
      </c>
      <c r="AI1" s="46" t="s">
        <v>192</v>
      </c>
      <c r="AJ1" s="46" t="s">
        <v>193</v>
      </c>
      <c r="AK1" s="46" t="s">
        <v>194</v>
      </c>
      <c r="AL1" s="46" t="s">
        <v>195</v>
      </c>
      <c r="AM1" s="46" t="s">
        <v>196</v>
      </c>
      <c r="AN1" s="46" t="s">
        <v>197</v>
      </c>
      <c r="AO1" s="46" t="s">
        <v>198</v>
      </c>
      <c r="AP1" s="46" t="s">
        <v>199</v>
      </c>
      <c r="AQ1" s="46" t="s">
        <v>200</v>
      </c>
      <c r="AR1" s="46" t="s">
        <v>201</v>
      </c>
      <c r="AS1" s="46" t="s">
        <v>202</v>
      </c>
      <c r="AT1" s="46" t="s">
        <v>203</v>
      </c>
      <c r="AU1" s="46" t="s">
        <v>204</v>
      </c>
      <c r="AV1" s="46" t="s">
        <v>205</v>
      </c>
      <c r="AW1" s="46" t="s">
        <v>206</v>
      </c>
      <c r="AX1" s="46" t="s">
        <v>207</v>
      </c>
      <c r="AY1" s="46" t="s">
        <v>208</v>
      </c>
      <c r="AZ1" s="46" t="s">
        <v>209</v>
      </c>
      <c r="BA1" s="46" t="s">
        <v>210</v>
      </c>
      <c r="BB1" s="46" t="s">
        <v>211</v>
      </c>
      <c r="BC1" s="46" t="s">
        <v>212</v>
      </c>
      <c r="BD1" s="46" t="s">
        <v>213</v>
      </c>
      <c r="BE1" s="46" t="s">
        <v>16</v>
      </c>
      <c r="BF1" s="46" t="s">
        <v>17</v>
      </c>
      <c r="BG1" s="46" t="s">
        <v>18</v>
      </c>
      <c r="BH1" s="46" t="s">
        <v>19</v>
      </c>
      <c r="BI1" s="46" t="s">
        <v>20</v>
      </c>
      <c r="BJ1" s="46" t="s">
        <v>21</v>
      </c>
      <c r="BK1" s="46" t="s">
        <v>22</v>
      </c>
      <c r="BL1" s="46" t="s">
        <v>23</v>
      </c>
      <c r="BM1" s="46" t="s">
        <v>24</v>
      </c>
      <c r="BN1" s="46" t="s">
        <v>25</v>
      </c>
      <c r="BO1" s="46" t="s">
        <v>26</v>
      </c>
      <c r="BP1" s="46" t="s">
        <v>27</v>
      </c>
      <c r="BQ1" s="46" t="s">
        <v>28</v>
      </c>
      <c r="BR1" s="46" t="s">
        <v>29</v>
      </c>
      <c r="BS1" s="46" t="s">
        <v>30</v>
      </c>
      <c r="BT1" s="46" t="s">
        <v>31</v>
      </c>
      <c r="BU1" s="46" t="s">
        <v>32</v>
      </c>
      <c r="BV1" s="46" t="s">
        <v>33</v>
      </c>
      <c r="BW1" s="46" t="s">
        <v>34</v>
      </c>
      <c r="BX1" s="46" t="s">
        <v>35</v>
      </c>
      <c r="BY1" s="46" t="s">
        <v>36</v>
      </c>
      <c r="BZ1" s="46" t="s">
        <v>37</v>
      </c>
      <c r="CA1" s="46" t="s">
        <v>38</v>
      </c>
      <c r="CB1" s="46" t="s">
        <v>39</v>
      </c>
      <c r="CC1" s="46" t="s">
        <v>40</v>
      </c>
      <c r="CD1" s="46" t="s">
        <v>41</v>
      </c>
      <c r="CE1" s="46" t="s">
        <v>42</v>
      </c>
      <c r="CF1" s="46" t="s">
        <v>43</v>
      </c>
      <c r="CG1" s="46" t="s">
        <v>44</v>
      </c>
      <c r="CH1" s="46" t="s">
        <v>45</v>
      </c>
      <c r="CI1" s="46" t="s">
        <v>46</v>
      </c>
      <c r="CJ1" s="46" t="s">
        <v>47</v>
      </c>
      <c r="CK1" s="46" t="s">
        <v>48</v>
      </c>
      <c r="CL1" s="46" t="s">
        <v>49</v>
      </c>
      <c r="CM1" s="46" t="s">
        <v>50</v>
      </c>
      <c r="CN1" s="46" t="s">
        <v>51</v>
      </c>
      <c r="CO1" s="46" t="s">
        <v>52</v>
      </c>
      <c r="CP1" s="46" t="s">
        <v>53</v>
      </c>
      <c r="CQ1" s="46" t="s">
        <v>54</v>
      </c>
      <c r="CR1" s="46" t="s">
        <v>55</v>
      </c>
      <c r="CS1" s="46" t="s">
        <v>56</v>
      </c>
      <c r="CT1" s="46" t="s">
        <v>57</v>
      </c>
      <c r="CU1" s="46" t="s">
        <v>58</v>
      </c>
      <c r="CV1" s="46" t="s">
        <v>59</v>
      </c>
    </row>
    <row r="2" spans="1:100" ht="15.75" customHeight="1" x14ac:dyDescent="0.25">
      <c r="A2" s="1" t="s">
        <v>60</v>
      </c>
      <c r="B2" s="1" t="s">
        <v>61</v>
      </c>
      <c r="C2" s="1" t="s">
        <v>62</v>
      </c>
      <c r="D2" s="1">
        <v>19.119399999999999</v>
      </c>
      <c r="E2" s="1" t="s">
        <v>63</v>
      </c>
      <c r="F2" s="2">
        <v>42</v>
      </c>
      <c r="G2" s="2">
        <v>43</v>
      </c>
      <c r="H2" s="2">
        <v>49</v>
      </c>
      <c r="I2" s="2">
        <v>42</v>
      </c>
      <c r="J2" s="3">
        <v>22917</v>
      </c>
      <c r="K2" s="4">
        <v>0.23710000000000001</v>
      </c>
      <c r="L2" s="4">
        <f>1812/11280</f>
        <v>0.16063829787234044</v>
      </c>
      <c r="M2" s="5">
        <f>1759/9070</f>
        <v>0.19393605292171995</v>
      </c>
      <c r="N2" s="6">
        <v>46782</v>
      </c>
      <c r="O2" s="1" t="s">
        <v>64</v>
      </c>
      <c r="P2" s="1">
        <v>110696</v>
      </c>
      <c r="Q2" s="1">
        <v>429</v>
      </c>
      <c r="R2" s="7">
        <v>14</v>
      </c>
      <c r="S2" s="7">
        <v>10</v>
      </c>
      <c r="T2" s="8">
        <v>0.2298611111111111</v>
      </c>
      <c r="U2" s="1" t="s">
        <v>65</v>
      </c>
      <c r="V2" s="8">
        <v>0.26180555555555557</v>
      </c>
      <c r="W2" s="1" t="s">
        <v>66</v>
      </c>
      <c r="X2" s="9">
        <v>41</v>
      </c>
      <c r="Y2" s="9">
        <v>29.078014184397102</v>
      </c>
      <c r="Z2" s="9">
        <v>28.728310502283101</v>
      </c>
      <c r="AA2" s="9" t="s">
        <v>67</v>
      </c>
      <c r="AB2" s="7">
        <v>5</v>
      </c>
      <c r="AC2" s="9">
        <v>35.888888899999998</v>
      </c>
      <c r="AD2" s="9">
        <v>29.6</v>
      </c>
      <c r="AE2" s="9">
        <v>56.555555599999998</v>
      </c>
      <c r="AF2" s="9">
        <v>48</v>
      </c>
      <c r="AG2" s="1" t="s">
        <v>68</v>
      </c>
      <c r="AH2" s="7">
        <v>0</v>
      </c>
      <c r="AI2" s="7">
        <v>0</v>
      </c>
      <c r="AJ2" s="11" t="s">
        <v>67</v>
      </c>
      <c r="AK2" s="1" t="s">
        <v>68</v>
      </c>
      <c r="AL2" s="11" t="s">
        <v>67</v>
      </c>
      <c r="AM2" s="1" t="s">
        <v>68</v>
      </c>
      <c r="AN2" s="10" t="s">
        <v>67</v>
      </c>
      <c r="AO2" s="10" t="s">
        <v>67</v>
      </c>
      <c r="AP2" s="11" t="s">
        <v>67</v>
      </c>
      <c r="AQ2" s="10" t="s">
        <v>67</v>
      </c>
      <c r="AR2" s="10" t="s">
        <v>67</v>
      </c>
      <c r="AS2" s="1" t="s">
        <v>68</v>
      </c>
      <c r="AT2" s="7">
        <v>0</v>
      </c>
      <c r="AU2" s="7">
        <v>0</v>
      </c>
      <c r="AV2" s="11" t="s">
        <v>67</v>
      </c>
      <c r="AW2" s="1" t="s">
        <v>68</v>
      </c>
      <c r="AX2" s="11" t="s">
        <v>67</v>
      </c>
      <c r="AY2" s="1" t="s">
        <v>68</v>
      </c>
      <c r="AZ2" s="10" t="s">
        <v>67</v>
      </c>
      <c r="BA2" s="10" t="s">
        <v>67</v>
      </c>
      <c r="BB2" s="11" t="s">
        <v>67</v>
      </c>
      <c r="BC2" s="10" t="s">
        <v>67</v>
      </c>
      <c r="BD2" s="10" t="s">
        <v>67</v>
      </c>
      <c r="BE2" s="1"/>
      <c r="BF2" s="1"/>
      <c r="BG2" s="1"/>
      <c r="BH2" s="1"/>
      <c r="BI2" s="1"/>
      <c r="BJ2" s="1" t="s">
        <v>69</v>
      </c>
      <c r="BK2" s="1" t="s">
        <v>69</v>
      </c>
      <c r="BL2" s="1" t="s">
        <v>69</v>
      </c>
      <c r="BM2" s="1"/>
      <c r="BN2" s="1"/>
      <c r="BO2" s="1" t="s">
        <v>69</v>
      </c>
      <c r="BP2" s="1" t="s">
        <v>69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 t="s">
        <v>69</v>
      </c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 t="s">
        <v>69</v>
      </c>
      <c r="CS2" s="1"/>
      <c r="CT2" s="1"/>
      <c r="CU2" s="1"/>
      <c r="CV2" s="1"/>
    </row>
    <row r="3" spans="1:100" ht="15.75" customHeight="1" x14ac:dyDescent="0.25">
      <c r="A3" s="1">
        <v>53</v>
      </c>
      <c r="B3" s="1" t="s">
        <v>70</v>
      </c>
      <c r="C3" s="1" t="s">
        <v>62</v>
      </c>
      <c r="D3" s="1">
        <v>15.790100000000001</v>
      </c>
      <c r="E3" s="1" t="s">
        <v>71</v>
      </c>
      <c r="F3" s="2">
        <v>36</v>
      </c>
      <c r="G3" s="2">
        <v>43</v>
      </c>
      <c r="H3" s="2">
        <v>27</v>
      </c>
      <c r="I3" s="2">
        <v>19</v>
      </c>
      <c r="J3" s="3">
        <v>13208</v>
      </c>
      <c r="K3" s="4">
        <v>0.2296</v>
      </c>
      <c r="L3" s="4">
        <v>0.1376</v>
      </c>
      <c r="M3" s="5">
        <f>(6252-4862)/6252</f>
        <v>0.22232885476647474</v>
      </c>
      <c r="N3" s="6">
        <v>47659</v>
      </c>
      <c r="O3" s="1" t="s">
        <v>64</v>
      </c>
      <c r="P3" s="1">
        <v>17501</v>
      </c>
      <c r="Q3" s="1" t="s">
        <v>68</v>
      </c>
      <c r="R3" s="7">
        <v>0</v>
      </c>
      <c r="S3" s="7">
        <v>0</v>
      </c>
      <c r="T3" s="11" t="s">
        <v>67</v>
      </c>
      <c r="U3" s="1" t="s">
        <v>68</v>
      </c>
      <c r="V3" s="11" t="s">
        <v>67</v>
      </c>
      <c r="W3" s="1" t="s">
        <v>68</v>
      </c>
      <c r="X3" s="9" t="s">
        <v>67</v>
      </c>
      <c r="Y3" s="9" t="s">
        <v>67</v>
      </c>
      <c r="Z3" s="9" t="s">
        <v>67</v>
      </c>
      <c r="AA3" s="9" t="s">
        <v>67</v>
      </c>
      <c r="AB3" s="11" t="s">
        <v>67</v>
      </c>
      <c r="AC3" s="10" t="s">
        <v>67</v>
      </c>
      <c r="AD3" s="10" t="s">
        <v>67</v>
      </c>
      <c r="AE3" s="10" t="s">
        <v>67</v>
      </c>
      <c r="AF3" s="10" t="s">
        <v>67</v>
      </c>
      <c r="AG3" s="1">
        <v>337</v>
      </c>
      <c r="AH3" s="7">
        <v>17</v>
      </c>
      <c r="AI3" s="7">
        <v>17</v>
      </c>
      <c r="AJ3" s="8">
        <v>0.27083333333333331</v>
      </c>
      <c r="AK3" s="1" t="s">
        <v>72</v>
      </c>
      <c r="AL3" s="8">
        <v>0.28819444444444442</v>
      </c>
      <c r="AM3" s="1" t="s">
        <v>73</v>
      </c>
      <c r="AN3" s="9">
        <v>59.822222199999999</v>
      </c>
      <c r="AO3" s="9">
        <v>60</v>
      </c>
      <c r="AP3" s="7">
        <v>2</v>
      </c>
      <c r="AQ3" s="9">
        <v>31.142857100000001</v>
      </c>
      <c r="AR3" s="9">
        <v>36.5</v>
      </c>
      <c r="AS3" s="1" t="s">
        <v>74</v>
      </c>
      <c r="AT3" s="7">
        <v>0</v>
      </c>
      <c r="AU3" s="7">
        <v>0</v>
      </c>
      <c r="AV3" s="11" t="s">
        <v>67</v>
      </c>
      <c r="AW3" s="1" t="s">
        <v>75</v>
      </c>
      <c r="AX3" s="11" t="s">
        <v>67</v>
      </c>
      <c r="AY3" s="1" t="s">
        <v>76</v>
      </c>
      <c r="AZ3" s="10" t="s">
        <v>67</v>
      </c>
      <c r="BA3" s="10" t="s">
        <v>67</v>
      </c>
      <c r="BB3" s="11" t="s">
        <v>67</v>
      </c>
      <c r="BC3" s="10" t="s">
        <v>67</v>
      </c>
      <c r="BD3" s="10" t="s">
        <v>67</v>
      </c>
      <c r="BE3" s="1"/>
      <c r="BF3" s="1"/>
      <c r="BG3" s="1"/>
      <c r="BH3" s="1"/>
      <c r="BI3" s="1"/>
      <c r="BJ3" s="1"/>
      <c r="BK3" s="1"/>
      <c r="BL3" s="1"/>
      <c r="BM3" s="1"/>
      <c r="BN3" s="1"/>
      <c r="BO3" s="1" t="s">
        <v>69</v>
      </c>
      <c r="BP3" s="1"/>
      <c r="BQ3" s="1"/>
      <c r="BR3" s="1"/>
      <c r="BS3" s="1"/>
      <c r="BT3" s="1" t="s">
        <v>69</v>
      </c>
      <c r="BU3" s="1"/>
      <c r="BV3" s="1"/>
      <c r="BW3" s="1"/>
      <c r="BX3" s="1"/>
      <c r="BY3" s="1"/>
      <c r="BZ3" s="1"/>
      <c r="CA3" s="1"/>
      <c r="CB3" s="1"/>
      <c r="CC3" s="1" t="s">
        <v>69</v>
      </c>
      <c r="CD3" s="1" t="s">
        <v>69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15.75" customHeight="1" x14ac:dyDescent="0.25">
      <c r="A4" s="1" t="s">
        <v>77</v>
      </c>
      <c r="B4" s="1" t="s">
        <v>78</v>
      </c>
      <c r="C4" s="1" t="s">
        <v>62</v>
      </c>
      <c r="D4" s="1">
        <v>33.162599999999998</v>
      </c>
      <c r="E4" s="1" t="s">
        <v>71</v>
      </c>
      <c r="F4" s="2">
        <v>50</v>
      </c>
      <c r="G4" s="2">
        <v>61</v>
      </c>
      <c r="H4" s="2">
        <v>29</v>
      </c>
      <c r="I4" s="2">
        <v>51</v>
      </c>
      <c r="J4" s="3">
        <v>37038</v>
      </c>
      <c r="K4" s="4">
        <v>0.2072</v>
      </c>
      <c r="L4" s="4">
        <v>0.1464</v>
      </c>
      <c r="M4" s="5">
        <f>(15226-12247)/15226</f>
        <v>0.19565217391304349</v>
      </c>
      <c r="N4" s="6">
        <v>53303</v>
      </c>
      <c r="O4" s="1" t="s">
        <v>64</v>
      </c>
      <c r="P4" s="1">
        <v>377123</v>
      </c>
      <c r="Q4" s="1">
        <v>1462</v>
      </c>
      <c r="R4" s="7">
        <v>29</v>
      </c>
      <c r="S4" s="7">
        <v>26</v>
      </c>
      <c r="T4" s="8">
        <v>0.2</v>
      </c>
      <c r="U4" s="12">
        <v>0.46180555555555558</v>
      </c>
      <c r="V4" s="8">
        <v>0.23402777777777778</v>
      </c>
      <c r="W4" s="1" t="s">
        <v>79</v>
      </c>
      <c r="X4" s="9">
        <v>26.768447837150099</v>
      </c>
      <c r="Y4" s="9">
        <v>52.9020467836257</v>
      </c>
      <c r="Z4" s="9">
        <v>24.331790123456699</v>
      </c>
      <c r="AA4" s="9">
        <v>59.248051948051902</v>
      </c>
      <c r="AB4" s="7">
        <v>9</v>
      </c>
      <c r="AC4" s="9">
        <v>52.6</v>
      </c>
      <c r="AD4" s="9">
        <v>54.785714300000002</v>
      </c>
      <c r="AE4" s="9">
        <v>76.5</v>
      </c>
      <c r="AF4" s="9">
        <v>73.25</v>
      </c>
      <c r="AG4" s="1" t="s">
        <v>68</v>
      </c>
      <c r="AH4" s="7">
        <v>0</v>
      </c>
      <c r="AI4" s="7">
        <v>0</v>
      </c>
      <c r="AJ4" s="11" t="s">
        <v>67</v>
      </c>
      <c r="AK4" s="1" t="s">
        <v>68</v>
      </c>
      <c r="AL4" s="11" t="s">
        <v>67</v>
      </c>
      <c r="AM4" s="1" t="s">
        <v>68</v>
      </c>
      <c r="AN4" s="10" t="s">
        <v>67</v>
      </c>
      <c r="AO4" s="10" t="s">
        <v>67</v>
      </c>
      <c r="AP4" s="11" t="s">
        <v>67</v>
      </c>
      <c r="AQ4" s="10" t="s">
        <v>67</v>
      </c>
      <c r="AR4" s="10" t="s">
        <v>67</v>
      </c>
      <c r="AS4" s="1" t="s">
        <v>68</v>
      </c>
      <c r="AT4" s="7">
        <v>0</v>
      </c>
      <c r="AU4" s="7">
        <v>0</v>
      </c>
      <c r="AV4" s="11" t="s">
        <v>67</v>
      </c>
      <c r="AW4" s="1" t="s">
        <v>68</v>
      </c>
      <c r="AX4" s="11" t="s">
        <v>67</v>
      </c>
      <c r="AY4" s="1" t="s">
        <v>68</v>
      </c>
      <c r="AZ4" s="10" t="s">
        <v>67</v>
      </c>
      <c r="BA4" s="10" t="s">
        <v>67</v>
      </c>
      <c r="BB4" s="11" t="s">
        <v>67</v>
      </c>
      <c r="BC4" s="10" t="s">
        <v>67</v>
      </c>
      <c r="BD4" s="10" t="s">
        <v>67</v>
      </c>
      <c r="BE4" s="1"/>
      <c r="BF4" s="1"/>
      <c r="BG4" s="1"/>
      <c r="BH4" s="1"/>
      <c r="BI4" s="1"/>
      <c r="BJ4" s="1" t="s">
        <v>69</v>
      </c>
      <c r="BK4" s="1" t="s">
        <v>69</v>
      </c>
      <c r="BL4" s="1" t="s">
        <v>69</v>
      </c>
      <c r="BM4" s="1"/>
      <c r="BN4" s="1"/>
      <c r="BO4" s="1" t="s">
        <v>69</v>
      </c>
      <c r="BP4" s="1" t="s">
        <v>69</v>
      </c>
      <c r="BQ4" s="1"/>
      <c r="BR4" s="1"/>
      <c r="BS4" s="1"/>
      <c r="BT4" s="1" t="s">
        <v>69</v>
      </c>
      <c r="BU4" s="1"/>
      <c r="BV4" s="1"/>
      <c r="BW4" s="1"/>
      <c r="BX4" s="1"/>
      <c r="BY4" s="1"/>
      <c r="BZ4" s="1"/>
      <c r="CA4" s="1"/>
      <c r="CB4" s="1"/>
      <c r="CC4" s="1" t="s">
        <v>69</v>
      </c>
      <c r="CD4" s="1" t="s">
        <v>69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 t="s">
        <v>69</v>
      </c>
      <c r="CS4" s="1"/>
      <c r="CT4" s="1"/>
      <c r="CU4" s="1"/>
      <c r="CV4" s="1"/>
    </row>
    <row r="5" spans="1:100" ht="15.75" customHeight="1" x14ac:dyDescent="0.25">
      <c r="A5" s="1">
        <v>55</v>
      </c>
      <c r="B5" s="1" t="s">
        <v>106</v>
      </c>
      <c r="C5" s="1" t="s">
        <v>107</v>
      </c>
      <c r="D5" s="1">
        <v>48.036499999999997</v>
      </c>
      <c r="E5" s="1" t="s">
        <v>71</v>
      </c>
      <c r="F5" s="2">
        <v>54</v>
      </c>
      <c r="G5" s="2">
        <v>55</v>
      </c>
      <c r="H5" s="2">
        <v>70</v>
      </c>
      <c r="I5" s="2">
        <v>44</v>
      </c>
      <c r="J5" s="3">
        <v>20479</v>
      </c>
      <c r="K5" s="4">
        <v>0.23499999999999999</v>
      </c>
      <c r="L5" s="4">
        <v>7.9899999999999999E-2</v>
      </c>
      <c r="M5" s="5">
        <f>(9325-6960)/9325</f>
        <v>0.25361930294906165</v>
      </c>
      <c r="N5" s="6">
        <v>34649</v>
      </c>
      <c r="O5" s="1" t="s">
        <v>64</v>
      </c>
      <c r="P5" s="1">
        <v>331946</v>
      </c>
      <c r="Q5" s="1">
        <v>1005</v>
      </c>
      <c r="R5" s="7">
        <v>18</v>
      </c>
      <c r="S5" s="7">
        <v>18</v>
      </c>
      <c r="T5" s="8">
        <v>0.22152777777777777</v>
      </c>
      <c r="U5" s="12">
        <v>0.48541666666666666</v>
      </c>
      <c r="V5" s="24">
        <v>0.25208333333333333</v>
      </c>
      <c r="W5" s="1" t="s">
        <v>108</v>
      </c>
      <c r="X5" s="9">
        <v>60.5</v>
      </c>
      <c r="Y5" s="9">
        <v>59.367532467532399</v>
      </c>
      <c r="Z5" s="9">
        <v>60</v>
      </c>
      <c r="AA5" s="9">
        <v>60.061505832449598</v>
      </c>
      <c r="AB5" s="7">
        <v>4</v>
      </c>
      <c r="AC5" s="9">
        <v>88.375</v>
      </c>
      <c r="AD5" s="9">
        <v>87.1</v>
      </c>
      <c r="AE5" s="9">
        <v>85</v>
      </c>
      <c r="AF5" s="9">
        <v>82.416666699999993</v>
      </c>
      <c r="AG5" s="1">
        <v>759</v>
      </c>
      <c r="AH5" s="7">
        <v>18</v>
      </c>
      <c r="AI5" s="7">
        <v>18</v>
      </c>
      <c r="AJ5" s="8">
        <v>0.22638888888888889</v>
      </c>
      <c r="AK5" s="1" t="s">
        <v>109</v>
      </c>
      <c r="AL5" s="8">
        <v>0.25208333333333333</v>
      </c>
      <c r="AM5" s="1" t="s">
        <v>110</v>
      </c>
      <c r="AN5" s="9">
        <v>59.527272699999997</v>
      </c>
      <c r="AO5" s="9">
        <v>60</v>
      </c>
      <c r="AP5" s="7">
        <v>4</v>
      </c>
      <c r="AQ5" s="9">
        <v>86.875</v>
      </c>
      <c r="AR5" s="9">
        <v>81.5</v>
      </c>
      <c r="AS5" s="1">
        <v>601</v>
      </c>
      <c r="AT5" s="7">
        <v>17</v>
      </c>
      <c r="AU5" s="7">
        <v>17</v>
      </c>
      <c r="AV5" s="8">
        <v>0.22430555555555556</v>
      </c>
      <c r="AW5" s="1" t="s">
        <v>111</v>
      </c>
      <c r="AX5" s="8">
        <v>0.25208333333333333</v>
      </c>
      <c r="AY5" s="1" t="s">
        <v>112</v>
      </c>
      <c r="AZ5" s="9">
        <v>60</v>
      </c>
      <c r="BA5" s="9">
        <v>60.488425900000003</v>
      </c>
      <c r="BB5" s="7">
        <v>4</v>
      </c>
      <c r="BC5" s="9">
        <v>84</v>
      </c>
      <c r="BD5" s="9">
        <v>80.833333300000007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 t="s">
        <v>69</v>
      </c>
      <c r="BZ5" s="1" t="s">
        <v>69</v>
      </c>
      <c r="CA5" s="1" t="s">
        <v>69</v>
      </c>
      <c r="CB5" s="1"/>
      <c r="CC5" s="1"/>
      <c r="CD5" s="1" t="s">
        <v>69</v>
      </c>
      <c r="CE5" s="1" t="s">
        <v>69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15.75" customHeight="1" x14ac:dyDescent="0.25">
      <c r="A6" s="1">
        <v>56</v>
      </c>
      <c r="B6" s="1" t="s">
        <v>116</v>
      </c>
      <c r="C6" s="1" t="s">
        <v>62</v>
      </c>
      <c r="D6" s="1">
        <v>28.459599999999998</v>
      </c>
      <c r="E6" s="1" t="s">
        <v>71</v>
      </c>
      <c r="F6" s="2">
        <v>50</v>
      </c>
      <c r="G6" s="2">
        <v>53</v>
      </c>
      <c r="H6" s="2">
        <v>33</v>
      </c>
      <c r="I6" s="2">
        <v>54</v>
      </c>
      <c r="J6" s="3">
        <v>32080</v>
      </c>
      <c r="K6" s="4">
        <v>0.23799999999999999</v>
      </c>
      <c r="L6" s="4">
        <v>0.1087</v>
      </c>
      <c r="M6" s="5">
        <f>(12312-8917)/12312</f>
        <v>0.2757472384665367</v>
      </c>
      <c r="N6" s="6">
        <v>35137</v>
      </c>
      <c r="O6" s="1" t="s">
        <v>64</v>
      </c>
      <c r="P6" s="1">
        <v>516895</v>
      </c>
      <c r="Q6" s="1">
        <v>1700</v>
      </c>
      <c r="R6" s="7">
        <v>31</v>
      </c>
      <c r="S6" s="7">
        <v>29</v>
      </c>
      <c r="T6" s="8">
        <v>0.20624999999999999</v>
      </c>
      <c r="U6" s="1" t="s">
        <v>118</v>
      </c>
      <c r="V6" s="8">
        <v>0.24305555555555555</v>
      </c>
      <c r="W6" s="1" t="s">
        <v>119</v>
      </c>
      <c r="X6" s="9">
        <v>25.418786692759198</v>
      </c>
      <c r="Y6" s="9">
        <v>45.156652360514997</v>
      </c>
      <c r="Z6" s="9">
        <v>25.144712430426701</v>
      </c>
      <c r="AA6" s="9">
        <v>49.667461263408804</v>
      </c>
      <c r="AB6" s="7">
        <v>6</v>
      </c>
      <c r="AC6" s="9">
        <v>50.466666699999998</v>
      </c>
      <c r="AD6" s="9">
        <v>51</v>
      </c>
      <c r="AE6" s="9">
        <v>57.357142899999999</v>
      </c>
      <c r="AF6" s="9">
        <v>52.642857100000001</v>
      </c>
      <c r="AG6" s="1">
        <v>823</v>
      </c>
      <c r="AH6" s="7">
        <v>17</v>
      </c>
      <c r="AI6" s="7">
        <v>17</v>
      </c>
      <c r="AJ6" s="8">
        <v>0.24374999999999999</v>
      </c>
      <c r="AK6" s="1" t="s">
        <v>120</v>
      </c>
      <c r="AL6" s="8">
        <v>0.27777777777777779</v>
      </c>
      <c r="AM6" s="1" t="s">
        <v>121</v>
      </c>
      <c r="AN6" s="9">
        <v>60</v>
      </c>
      <c r="AO6" s="9">
        <v>60</v>
      </c>
      <c r="AP6" s="7">
        <v>2</v>
      </c>
      <c r="AQ6" s="9">
        <v>49.5</v>
      </c>
      <c r="AR6" s="9">
        <v>51.5</v>
      </c>
      <c r="AS6" s="1">
        <v>647</v>
      </c>
      <c r="AT6" s="7">
        <v>16</v>
      </c>
      <c r="AU6" s="7">
        <v>16</v>
      </c>
      <c r="AV6" s="8">
        <v>0.28611111111111109</v>
      </c>
      <c r="AW6" s="1" t="s">
        <v>120</v>
      </c>
      <c r="AX6" s="8">
        <v>0.31944444444444442</v>
      </c>
      <c r="AY6" s="1" t="s">
        <v>122</v>
      </c>
      <c r="AZ6" s="9">
        <v>60</v>
      </c>
      <c r="BA6" s="9">
        <v>60.254545499999999</v>
      </c>
      <c r="BB6" s="7">
        <v>2</v>
      </c>
      <c r="BC6" s="9">
        <v>48.5</v>
      </c>
      <c r="BD6" s="9">
        <v>49.428571400000003</v>
      </c>
      <c r="BE6" s="1"/>
      <c r="BF6" s="1"/>
      <c r="BG6" s="1"/>
      <c r="BH6" s="1"/>
      <c r="BI6" s="1"/>
      <c r="BJ6" s="1" t="s">
        <v>69</v>
      </c>
      <c r="BK6" s="1"/>
      <c r="BL6" s="1" t="s">
        <v>69</v>
      </c>
      <c r="BM6" s="1"/>
      <c r="BN6" s="1"/>
      <c r="BO6" s="1"/>
      <c r="BP6" s="1" t="s">
        <v>69</v>
      </c>
      <c r="BQ6" s="1"/>
      <c r="BR6" s="1"/>
      <c r="BS6" s="1"/>
      <c r="BT6" s="1" t="s">
        <v>69</v>
      </c>
      <c r="BU6" s="1"/>
      <c r="BV6" s="1"/>
      <c r="BW6" s="1"/>
      <c r="BX6" s="1"/>
      <c r="BY6" s="1"/>
      <c r="BZ6" s="1" t="s">
        <v>69</v>
      </c>
      <c r="CA6" s="1" t="s">
        <v>69</v>
      </c>
      <c r="CB6" s="1"/>
      <c r="CC6" s="1" t="s">
        <v>69</v>
      </c>
      <c r="CD6" s="1" t="s">
        <v>69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 t="s">
        <v>69</v>
      </c>
      <c r="CS6" s="1"/>
      <c r="CT6" s="1"/>
      <c r="CU6" s="1"/>
      <c r="CV6" s="1"/>
    </row>
    <row r="7" spans="1:100" ht="15.75" customHeight="1" x14ac:dyDescent="0.25">
      <c r="A7" s="1">
        <v>57</v>
      </c>
      <c r="B7" s="1" t="s">
        <v>127</v>
      </c>
      <c r="C7" s="1" t="s">
        <v>62</v>
      </c>
      <c r="D7" s="1">
        <v>10.047800000000001</v>
      </c>
      <c r="E7" s="1" t="s">
        <v>71</v>
      </c>
      <c r="F7" s="2">
        <v>19</v>
      </c>
      <c r="G7" s="2">
        <v>18</v>
      </c>
      <c r="H7" s="2">
        <v>30</v>
      </c>
      <c r="I7" s="2">
        <v>36</v>
      </c>
      <c r="J7" s="3">
        <v>21417</v>
      </c>
      <c r="K7" s="4">
        <v>0.26279999999999998</v>
      </c>
      <c r="L7" s="4">
        <v>0.1739</v>
      </c>
      <c r="M7" s="5">
        <f>(7710-5331)/7710</f>
        <v>0.30856031128404671</v>
      </c>
      <c r="N7" s="6">
        <v>33562</v>
      </c>
      <c r="O7" s="1" t="s">
        <v>64</v>
      </c>
      <c r="P7" s="1">
        <v>414276</v>
      </c>
      <c r="Q7" s="1">
        <v>1275</v>
      </c>
      <c r="R7" s="7">
        <v>31</v>
      </c>
      <c r="S7" s="7">
        <v>31</v>
      </c>
      <c r="T7" s="8">
        <v>0.1986111111111111</v>
      </c>
      <c r="U7" s="1" t="s">
        <v>128</v>
      </c>
      <c r="V7" s="8">
        <v>0.22222222222222221</v>
      </c>
      <c r="W7" s="1" t="s">
        <v>110</v>
      </c>
      <c r="X7" s="9">
        <v>24.387499999999999</v>
      </c>
      <c r="Y7" s="9">
        <v>44.515000000000001</v>
      </c>
      <c r="Z7" s="9">
        <v>26.765079365079298</v>
      </c>
      <c r="AA7" s="9">
        <v>47.589928057553898</v>
      </c>
      <c r="AB7" s="7">
        <v>4</v>
      </c>
      <c r="AC7" s="9">
        <v>37.384615400000001</v>
      </c>
      <c r="AD7" s="9">
        <v>36.222222199999997</v>
      </c>
      <c r="AE7" s="9">
        <v>40.133333299999997</v>
      </c>
      <c r="AF7" s="9">
        <v>36.375</v>
      </c>
      <c r="AG7" s="1">
        <v>927</v>
      </c>
      <c r="AH7" s="7">
        <v>19</v>
      </c>
      <c r="AI7" s="7">
        <v>19</v>
      </c>
      <c r="AJ7" s="8">
        <v>0.23472222222222222</v>
      </c>
      <c r="AK7" s="1" t="s">
        <v>129</v>
      </c>
      <c r="AL7" s="8">
        <v>0.25694444444444442</v>
      </c>
      <c r="AM7" s="1" t="s">
        <v>130</v>
      </c>
      <c r="AN7" s="9">
        <v>59.625</v>
      </c>
      <c r="AO7" s="9">
        <v>60</v>
      </c>
      <c r="AP7" s="7">
        <v>2</v>
      </c>
      <c r="AQ7" s="9">
        <v>37</v>
      </c>
      <c r="AR7" s="9">
        <v>36.5</v>
      </c>
      <c r="AS7" s="1">
        <v>674</v>
      </c>
      <c r="AT7" s="7">
        <v>18</v>
      </c>
      <c r="AU7" s="7">
        <v>18</v>
      </c>
      <c r="AV7" s="8">
        <v>0.27430555555555558</v>
      </c>
      <c r="AW7" s="1" t="s">
        <v>129</v>
      </c>
      <c r="AX7" s="8">
        <v>0.2986111111111111</v>
      </c>
      <c r="AY7" s="1" t="s">
        <v>132</v>
      </c>
      <c r="AZ7" s="9">
        <v>60.293750000000003</v>
      </c>
      <c r="BA7" s="9">
        <v>60.527777800000003</v>
      </c>
      <c r="BB7" s="7">
        <v>2</v>
      </c>
      <c r="BC7" s="9">
        <v>35.3333333</v>
      </c>
      <c r="BD7" s="9">
        <v>36.3333333</v>
      </c>
      <c r="BE7" s="1"/>
      <c r="BF7" s="1"/>
      <c r="BG7" s="1"/>
      <c r="BH7" s="1"/>
      <c r="BI7" s="1"/>
      <c r="BJ7" s="1" t="s">
        <v>69</v>
      </c>
      <c r="BK7" s="1" t="s">
        <v>69</v>
      </c>
      <c r="BL7" s="1" t="s">
        <v>69</v>
      </c>
      <c r="BM7" s="1"/>
      <c r="BN7" s="1"/>
      <c r="BO7" s="1" t="s">
        <v>69</v>
      </c>
      <c r="BP7" s="1" t="s">
        <v>69</v>
      </c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 t="s">
        <v>69</v>
      </c>
      <c r="CS7" s="1"/>
      <c r="CT7" s="1"/>
      <c r="CU7" s="1"/>
      <c r="CV7" s="1"/>
    </row>
    <row r="8" spans="1:100" ht="15.75" customHeight="1" x14ac:dyDescent="0.25">
      <c r="A8" s="1">
        <v>59</v>
      </c>
      <c r="B8" s="1" t="s">
        <v>134</v>
      </c>
      <c r="C8" s="1" t="s">
        <v>107</v>
      </c>
      <c r="D8" s="1">
        <v>43.7196</v>
      </c>
      <c r="E8" s="1" t="s">
        <v>71</v>
      </c>
      <c r="F8" s="2">
        <v>82</v>
      </c>
      <c r="G8" s="2">
        <v>79</v>
      </c>
      <c r="H8" s="2">
        <v>152</v>
      </c>
      <c r="I8" s="2">
        <v>56</v>
      </c>
      <c r="J8" s="3">
        <v>48108</v>
      </c>
      <c r="K8" s="4">
        <v>0.27829999999999999</v>
      </c>
      <c r="L8" s="4">
        <v>0.19089999999999999</v>
      </c>
      <c r="M8" s="5">
        <f>(22171-15731)/22171</f>
        <v>0.29046953227188671</v>
      </c>
      <c r="N8" s="6">
        <v>33826</v>
      </c>
      <c r="O8" s="1" t="s">
        <v>64</v>
      </c>
      <c r="P8" s="1">
        <v>724016</v>
      </c>
      <c r="Q8" s="1">
        <v>2142</v>
      </c>
      <c r="R8" s="7">
        <v>19</v>
      </c>
      <c r="S8" s="7">
        <v>19</v>
      </c>
      <c r="T8" s="8">
        <v>0.21180555555555555</v>
      </c>
      <c r="U8" s="1" t="s">
        <v>135</v>
      </c>
      <c r="V8" s="8">
        <v>0.2326388888888889</v>
      </c>
      <c r="W8" s="1" t="s">
        <v>136</v>
      </c>
      <c r="X8" s="9">
        <v>61.020257826887601</v>
      </c>
      <c r="Y8" s="9">
        <v>59.608301886792397</v>
      </c>
      <c r="Z8" s="9">
        <v>60</v>
      </c>
      <c r="AA8" s="9">
        <v>59.535465924895597</v>
      </c>
      <c r="AB8" s="7">
        <v>5</v>
      </c>
      <c r="AC8" s="9">
        <v>135.5</v>
      </c>
      <c r="AD8" s="9">
        <v>126.81818199999999</v>
      </c>
      <c r="AE8" s="9">
        <v>133</v>
      </c>
      <c r="AF8" s="9">
        <v>115.18181800000001</v>
      </c>
      <c r="AG8" s="1">
        <v>1912</v>
      </c>
      <c r="AH8" s="7">
        <v>18</v>
      </c>
      <c r="AI8" s="7">
        <v>18</v>
      </c>
      <c r="AJ8" s="8">
        <v>0.21527777777777779</v>
      </c>
      <c r="AK8" s="1" t="s">
        <v>110</v>
      </c>
      <c r="AL8" s="8">
        <v>0.2326388888888889</v>
      </c>
      <c r="AM8" s="1" t="s">
        <v>138</v>
      </c>
      <c r="AN8" s="9">
        <v>60.813996299999999</v>
      </c>
      <c r="AO8" s="9">
        <v>60</v>
      </c>
      <c r="AP8" s="7">
        <v>5</v>
      </c>
      <c r="AQ8" s="9">
        <v>132.25</v>
      </c>
      <c r="AR8" s="9">
        <v>130.42857100000001</v>
      </c>
      <c r="AS8" s="1">
        <v>1308</v>
      </c>
      <c r="AT8" s="7">
        <v>14</v>
      </c>
      <c r="AU8" s="7">
        <v>14</v>
      </c>
      <c r="AV8" s="8">
        <v>0.25347222222222221</v>
      </c>
      <c r="AW8" s="1" t="s">
        <v>139</v>
      </c>
      <c r="AX8" s="8">
        <v>0.27430555555555558</v>
      </c>
      <c r="AY8" s="1" t="s">
        <v>140</v>
      </c>
      <c r="AZ8" s="9">
        <v>60.384898700000001</v>
      </c>
      <c r="BA8" s="9">
        <v>60</v>
      </c>
      <c r="BB8" s="7">
        <v>5</v>
      </c>
      <c r="BC8" s="9">
        <v>128.375</v>
      </c>
      <c r="BD8" s="9">
        <v>125.714286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 t="s">
        <v>69</v>
      </c>
      <c r="BP8" s="1"/>
      <c r="BQ8" s="1"/>
      <c r="BR8" s="1"/>
      <c r="BS8" s="1"/>
      <c r="BT8" s="1"/>
      <c r="BU8" s="1"/>
      <c r="BV8" s="1"/>
      <c r="BW8" s="1" t="s">
        <v>69</v>
      </c>
      <c r="BX8" s="1" t="s">
        <v>69</v>
      </c>
      <c r="BY8" s="1" t="s">
        <v>69</v>
      </c>
      <c r="BZ8" s="1" t="s">
        <v>69</v>
      </c>
      <c r="CA8" s="1" t="s">
        <v>69</v>
      </c>
      <c r="CB8" s="1"/>
      <c r="CC8" s="1" t="s">
        <v>69</v>
      </c>
      <c r="CD8" s="1" t="s">
        <v>69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15.75" customHeight="1" x14ac:dyDescent="0.25">
      <c r="A9" s="1">
        <v>60</v>
      </c>
      <c r="B9" s="1" t="s">
        <v>142</v>
      </c>
      <c r="C9" s="1" t="s">
        <v>62</v>
      </c>
      <c r="D9" s="1">
        <v>11.787699999999999</v>
      </c>
      <c r="E9" s="1" t="s">
        <v>71</v>
      </c>
      <c r="F9" s="2">
        <v>32</v>
      </c>
      <c r="G9" s="2">
        <v>43</v>
      </c>
      <c r="H9" s="2">
        <v>13</v>
      </c>
      <c r="I9" s="2">
        <v>20</v>
      </c>
      <c r="J9" s="3">
        <v>14204</v>
      </c>
      <c r="K9" s="4">
        <v>0.30199999999999999</v>
      </c>
      <c r="L9" s="4">
        <v>0.12920000000000001</v>
      </c>
      <c r="M9" s="5">
        <f>(6061-4059)/6061</f>
        <v>0.33030852994555354</v>
      </c>
      <c r="N9" s="6">
        <v>25676</v>
      </c>
      <c r="O9" s="1" t="s">
        <v>64</v>
      </c>
      <c r="P9" s="1">
        <v>145956</v>
      </c>
      <c r="Q9" s="1">
        <v>566</v>
      </c>
      <c r="R9" s="7">
        <v>15</v>
      </c>
      <c r="S9" s="7">
        <v>15</v>
      </c>
      <c r="T9" s="8">
        <v>0.26805555555555555</v>
      </c>
      <c r="U9" s="1" t="s">
        <v>146</v>
      </c>
      <c r="V9" s="8">
        <v>0.26041666666666669</v>
      </c>
      <c r="W9" s="1" t="s">
        <v>147</v>
      </c>
      <c r="X9" s="9">
        <v>59.75</v>
      </c>
      <c r="Y9" s="9">
        <v>59.8867924528301</v>
      </c>
      <c r="Z9" s="9">
        <v>60.380952380952301</v>
      </c>
      <c r="AA9" s="9">
        <v>59.892857142857103</v>
      </c>
      <c r="AB9" s="7">
        <v>1</v>
      </c>
      <c r="AC9" s="9">
        <v>20.3333333</v>
      </c>
      <c r="AD9" s="9">
        <v>19.888888900000001</v>
      </c>
      <c r="AE9" s="9">
        <v>39.625</v>
      </c>
      <c r="AF9" s="9">
        <v>35.142857100000001</v>
      </c>
      <c r="AG9" s="1" t="s">
        <v>68</v>
      </c>
      <c r="AH9" s="7">
        <v>0</v>
      </c>
      <c r="AI9" s="7">
        <v>0</v>
      </c>
      <c r="AJ9" s="11" t="s">
        <v>67</v>
      </c>
      <c r="AK9" s="1" t="s">
        <v>68</v>
      </c>
      <c r="AL9" s="11" t="s">
        <v>67</v>
      </c>
      <c r="AM9" s="1" t="s">
        <v>68</v>
      </c>
      <c r="AN9" s="10" t="s">
        <v>67</v>
      </c>
      <c r="AO9" s="10" t="s">
        <v>67</v>
      </c>
      <c r="AP9" s="11" t="s">
        <v>67</v>
      </c>
      <c r="AQ9" s="10" t="s">
        <v>67</v>
      </c>
      <c r="AR9" s="10" t="s">
        <v>67</v>
      </c>
      <c r="AS9" s="1" t="s">
        <v>68</v>
      </c>
      <c r="AT9" s="7">
        <v>0</v>
      </c>
      <c r="AU9" s="7">
        <v>0</v>
      </c>
      <c r="AV9" s="11" t="s">
        <v>67</v>
      </c>
      <c r="AW9" s="1" t="s">
        <v>68</v>
      </c>
      <c r="AX9" s="11" t="s">
        <v>67</v>
      </c>
      <c r="AY9" s="1" t="s">
        <v>68</v>
      </c>
      <c r="AZ9" s="10" t="s">
        <v>67</v>
      </c>
      <c r="BA9" s="10" t="s">
        <v>67</v>
      </c>
      <c r="BB9" s="11" t="s">
        <v>67</v>
      </c>
      <c r="BC9" s="10" t="s">
        <v>67</v>
      </c>
      <c r="BD9" s="10" t="s">
        <v>67</v>
      </c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 t="s">
        <v>69</v>
      </c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15.75" customHeight="1" x14ac:dyDescent="0.25">
      <c r="A10" s="1" t="s">
        <v>86</v>
      </c>
      <c r="B10" s="1" t="s">
        <v>152</v>
      </c>
      <c r="C10" s="1" t="s">
        <v>107</v>
      </c>
      <c r="D10" s="1">
        <v>17.524899999999999</v>
      </c>
      <c r="E10" s="1" t="s">
        <v>153</v>
      </c>
      <c r="F10" s="2">
        <v>78</v>
      </c>
      <c r="G10" s="2">
        <v>55</v>
      </c>
      <c r="H10" s="2">
        <v>53</v>
      </c>
      <c r="I10" s="2">
        <v>84</v>
      </c>
      <c r="J10" s="3">
        <v>79046</v>
      </c>
      <c r="K10" s="4">
        <v>0.25459999999999999</v>
      </c>
      <c r="L10" s="4">
        <v>0.20880000000000001</v>
      </c>
      <c r="M10" s="5">
        <f>(30570-22990)/30570</f>
        <v>0.24795551193981027</v>
      </c>
      <c r="N10" s="6">
        <v>37280</v>
      </c>
      <c r="O10" s="1" t="s">
        <v>64</v>
      </c>
      <c r="P10" s="1">
        <v>1560788</v>
      </c>
      <c r="Q10" s="1">
        <v>4895</v>
      </c>
      <c r="R10" s="7">
        <v>55</v>
      </c>
      <c r="S10" s="7">
        <v>55</v>
      </c>
      <c r="T10" s="8">
        <v>0.2048611111111111</v>
      </c>
      <c r="U10" s="1"/>
      <c r="V10" s="8">
        <v>0.23958333333333334</v>
      </c>
      <c r="W10" s="1"/>
      <c r="X10" s="9">
        <v>17.1391147244805</v>
      </c>
      <c r="Y10" s="9">
        <v>22.581275720164601</v>
      </c>
      <c r="Z10" s="9">
        <v>15.837414299706101</v>
      </c>
      <c r="AA10" s="9">
        <v>23.4634831460674</v>
      </c>
      <c r="AB10" s="7">
        <v>11</v>
      </c>
      <c r="AC10" s="9">
        <v>71.454545499999995</v>
      </c>
      <c r="AD10" s="9">
        <v>62.2727273</v>
      </c>
      <c r="AE10" s="9">
        <v>64.391304300000002</v>
      </c>
      <c r="AF10" s="9">
        <v>54.903225800000001</v>
      </c>
      <c r="AG10" s="1">
        <v>3210</v>
      </c>
      <c r="AH10" s="7">
        <v>44</v>
      </c>
      <c r="AI10" s="7">
        <v>44</v>
      </c>
      <c r="AJ10" s="8">
        <v>0.22361111111111112</v>
      </c>
      <c r="AK10" s="1"/>
      <c r="AL10" s="8">
        <v>0.26041666666666669</v>
      </c>
      <c r="AM10" s="1"/>
      <c r="AN10" s="9">
        <v>25.033667600000001</v>
      </c>
      <c r="AO10" s="9">
        <v>24.606750399999999</v>
      </c>
      <c r="AP10" s="7">
        <v>7</v>
      </c>
      <c r="AQ10" s="9">
        <v>64</v>
      </c>
      <c r="AR10" s="9">
        <v>54.8125</v>
      </c>
      <c r="AS10" s="1">
        <v>2381</v>
      </c>
      <c r="AT10" s="7">
        <v>32</v>
      </c>
      <c r="AU10" s="7">
        <v>32</v>
      </c>
      <c r="AV10" s="8">
        <v>0.21458333333333332</v>
      </c>
      <c r="AW10" s="1"/>
      <c r="AX10" s="8">
        <v>0.25</v>
      </c>
      <c r="AY10" s="1"/>
      <c r="AZ10" s="9">
        <v>36.031496099999998</v>
      </c>
      <c r="BA10" s="9">
        <v>37.302774399999997</v>
      </c>
      <c r="BB10" s="7">
        <v>6</v>
      </c>
      <c r="BC10" s="9">
        <v>57.454545500000002</v>
      </c>
      <c r="BD10" s="9">
        <v>54.7272727</v>
      </c>
      <c r="BE10" s="1"/>
      <c r="BF10" s="1"/>
      <c r="BG10" s="1"/>
      <c r="BH10" s="1"/>
      <c r="BI10" s="1"/>
      <c r="BJ10" s="1"/>
      <c r="BK10" s="1" t="s">
        <v>69</v>
      </c>
      <c r="BL10" s="1" t="s">
        <v>69</v>
      </c>
      <c r="BM10" s="1"/>
      <c r="BN10" s="1"/>
      <c r="BO10" s="1"/>
      <c r="BP10" s="1" t="s">
        <v>69</v>
      </c>
      <c r="BQ10" s="1"/>
      <c r="BR10" s="1"/>
      <c r="BS10" s="1"/>
      <c r="BT10" s="1"/>
      <c r="BU10" s="1"/>
      <c r="BV10" s="1"/>
      <c r="BW10" s="1"/>
      <c r="BX10" s="1" t="s">
        <v>69</v>
      </c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 t="s">
        <v>69</v>
      </c>
      <c r="CS10" s="1"/>
      <c r="CT10" s="1" t="s">
        <v>69</v>
      </c>
      <c r="CU10" s="1"/>
      <c r="CV10" s="1"/>
    </row>
    <row r="11" spans="1:100" ht="15.75" customHeight="1" x14ac:dyDescent="0.25">
      <c r="A11" s="1" t="s">
        <v>87</v>
      </c>
      <c r="B11" s="1" t="s">
        <v>154</v>
      </c>
      <c r="C11" s="1" t="s">
        <v>107</v>
      </c>
      <c r="D11" s="1">
        <v>14.252700000000001</v>
      </c>
      <c r="E11" s="1" t="s">
        <v>153</v>
      </c>
      <c r="F11" s="2">
        <v>49</v>
      </c>
      <c r="G11" s="2">
        <v>38</v>
      </c>
      <c r="H11" s="2">
        <v>48</v>
      </c>
      <c r="I11" s="2">
        <v>79</v>
      </c>
      <c r="J11" s="3">
        <v>71049</v>
      </c>
      <c r="K11" s="4">
        <v>0.24179999999999999</v>
      </c>
      <c r="L11" s="4">
        <v>0.19919999999999999</v>
      </c>
      <c r="M11" s="5">
        <f>(26958-20536)/26958</f>
        <v>0.23822242006083538</v>
      </c>
      <c r="N11" s="6">
        <v>38560</v>
      </c>
      <c r="O11" s="1" t="s">
        <v>64</v>
      </c>
      <c r="P11" s="1">
        <v>1380803</v>
      </c>
      <c r="Q11" s="1">
        <v>4394</v>
      </c>
      <c r="R11" s="7">
        <v>57</v>
      </c>
      <c r="S11" s="7">
        <v>57</v>
      </c>
      <c r="T11" s="8">
        <v>0.19652777777777777</v>
      </c>
      <c r="U11" s="1"/>
      <c r="V11" s="8">
        <v>0.22361111111111112</v>
      </c>
      <c r="W11" s="1"/>
      <c r="X11" s="9">
        <v>16.572145545796701</v>
      </c>
      <c r="Y11" s="9">
        <v>23.375231910946098</v>
      </c>
      <c r="Z11" s="9">
        <v>17.190150478796099</v>
      </c>
      <c r="AA11" s="9">
        <v>24.4262838210933</v>
      </c>
      <c r="AB11" s="7">
        <v>9</v>
      </c>
      <c r="AC11" s="9">
        <v>58.318181799999998</v>
      </c>
      <c r="AD11" s="9">
        <v>52</v>
      </c>
      <c r="AE11" s="9">
        <v>51.4583333</v>
      </c>
      <c r="AF11" s="9">
        <v>45.133333299999997</v>
      </c>
      <c r="AG11" s="1">
        <v>2708</v>
      </c>
      <c r="AH11" s="7">
        <v>49</v>
      </c>
      <c r="AI11" s="7">
        <v>49</v>
      </c>
      <c r="AJ11" s="8">
        <v>0.19444444444444445</v>
      </c>
      <c r="AK11" s="1"/>
      <c r="AL11" s="8">
        <v>0.22361111111111112</v>
      </c>
      <c r="AM11" s="1"/>
      <c r="AN11" s="9">
        <v>25.486685000000001</v>
      </c>
      <c r="AO11" s="9">
        <v>24.331054699999999</v>
      </c>
      <c r="AP11" s="7">
        <v>6</v>
      </c>
      <c r="AQ11" s="9">
        <v>52.882352900000001</v>
      </c>
      <c r="AR11" s="9">
        <v>45.235294099999997</v>
      </c>
      <c r="AS11" s="1">
        <v>1935</v>
      </c>
      <c r="AT11" s="7">
        <v>33</v>
      </c>
      <c r="AU11" s="7">
        <v>33</v>
      </c>
      <c r="AV11" s="8">
        <v>0.20208333333333334</v>
      </c>
      <c r="AW11" s="1"/>
      <c r="AX11" s="8">
        <v>0.22916666666666666</v>
      </c>
      <c r="AY11" s="1"/>
      <c r="AZ11" s="9">
        <v>36.108483999999997</v>
      </c>
      <c r="BA11" s="9">
        <v>36.083606600000003</v>
      </c>
      <c r="BB11" s="7">
        <v>4</v>
      </c>
      <c r="BC11" s="9">
        <v>47.8333333</v>
      </c>
      <c r="BD11" s="9">
        <v>43.181818200000002</v>
      </c>
      <c r="BE11" s="1"/>
      <c r="BF11" s="1"/>
      <c r="BG11" s="1"/>
      <c r="BH11" s="1"/>
      <c r="BI11" s="1"/>
      <c r="BJ11" s="1"/>
      <c r="BK11" s="1" t="s">
        <v>69</v>
      </c>
      <c r="BL11" s="1" t="s">
        <v>69</v>
      </c>
      <c r="BM11" s="1"/>
      <c r="BN11" s="1"/>
      <c r="BO11" s="1"/>
      <c r="BP11" s="1" t="s">
        <v>69</v>
      </c>
      <c r="BQ11" s="1"/>
      <c r="BR11" s="1"/>
      <c r="BS11" s="1"/>
      <c r="BT11" s="1"/>
      <c r="BU11" s="1"/>
      <c r="BV11" s="1"/>
      <c r="BW11" s="1"/>
      <c r="BX11" s="1" t="s">
        <v>69</v>
      </c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 t="s">
        <v>69</v>
      </c>
      <c r="CS11" s="1"/>
      <c r="CT11" s="1" t="s">
        <v>69</v>
      </c>
      <c r="CU11" s="1"/>
      <c r="CV11" s="1"/>
    </row>
    <row r="12" spans="1:100" ht="15.75" customHeight="1" x14ac:dyDescent="0.25">
      <c r="A12" s="1" t="s">
        <v>88</v>
      </c>
      <c r="B12" s="1" t="s">
        <v>155</v>
      </c>
      <c r="C12" s="1" t="s">
        <v>62</v>
      </c>
      <c r="D12" s="1">
        <v>30.233799999999999</v>
      </c>
      <c r="E12" s="1" t="s">
        <v>153</v>
      </c>
      <c r="F12" s="2">
        <v>35</v>
      </c>
      <c r="G12" s="2">
        <v>29</v>
      </c>
      <c r="H12" s="2">
        <v>90</v>
      </c>
      <c r="I12" s="2">
        <v>105</v>
      </c>
      <c r="J12" s="3">
        <v>74631</v>
      </c>
      <c r="K12" s="4">
        <v>0.27210000000000001</v>
      </c>
      <c r="L12" s="4">
        <v>0.1976</v>
      </c>
      <c r="M12" s="5">
        <f>(28489-21540)/28489</f>
        <v>0.24391870546526728</v>
      </c>
      <c r="N12" s="6">
        <v>36634</v>
      </c>
      <c r="O12" s="1" t="s">
        <v>64</v>
      </c>
      <c r="P12" s="1">
        <v>2051738</v>
      </c>
      <c r="Q12" s="1">
        <v>6314</v>
      </c>
      <c r="R12" s="7">
        <v>57</v>
      </c>
      <c r="S12" s="7">
        <v>57</v>
      </c>
      <c r="T12" s="8">
        <v>0.17708333333333334</v>
      </c>
      <c r="U12" s="1"/>
      <c r="V12" s="8">
        <v>0.21319444444444444</v>
      </c>
      <c r="W12" s="1"/>
      <c r="X12" s="9">
        <v>16.366279069767401</v>
      </c>
      <c r="Y12" s="9">
        <v>22.3573667711598</v>
      </c>
      <c r="Z12" s="9">
        <v>14.992239467849201</v>
      </c>
      <c r="AA12" s="9">
        <v>23.850554323725</v>
      </c>
      <c r="AB12" s="7">
        <v>11</v>
      </c>
      <c r="AC12" s="9">
        <v>75.782608699999997</v>
      </c>
      <c r="AD12" s="9">
        <v>67.909090899999995</v>
      </c>
      <c r="AE12" s="9">
        <v>65.583333300000007</v>
      </c>
      <c r="AF12" s="9">
        <v>57.225806499999997</v>
      </c>
      <c r="AG12" s="1">
        <v>4562</v>
      </c>
      <c r="AH12" s="7">
        <v>47</v>
      </c>
      <c r="AI12" s="7">
        <v>47</v>
      </c>
      <c r="AJ12" s="8">
        <v>0.17430555555555555</v>
      </c>
      <c r="AK12" s="1"/>
      <c r="AL12" s="8">
        <v>0.21319444444444444</v>
      </c>
      <c r="AM12" s="1"/>
      <c r="AN12" s="9">
        <v>24.5651163</v>
      </c>
      <c r="AO12" s="9">
        <v>24.107317099999999</v>
      </c>
      <c r="AP12" s="7">
        <v>7</v>
      </c>
      <c r="AQ12" s="9">
        <v>66.705882399999993</v>
      </c>
      <c r="AR12" s="9">
        <v>57.941176499999997</v>
      </c>
      <c r="AS12" s="1">
        <v>3374</v>
      </c>
      <c r="AT12" s="7">
        <v>33</v>
      </c>
      <c r="AU12" s="7">
        <v>33</v>
      </c>
      <c r="AV12" s="8">
        <v>0.20277777777777778</v>
      </c>
      <c r="AW12" s="1"/>
      <c r="AX12" s="8">
        <v>0.23958333333333334</v>
      </c>
      <c r="AY12" s="1"/>
      <c r="AZ12" s="9">
        <v>33.85</v>
      </c>
      <c r="BA12" s="9">
        <v>35.662195099999998</v>
      </c>
      <c r="BB12" s="7">
        <v>5</v>
      </c>
      <c r="BC12" s="9">
        <v>61.8333333</v>
      </c>
      <c r="BD12" s="9">
        <v>55.6666667</v>
      </c>
      <c r="BE12" s="1"/>
      <c r="BF12" s="1"/>
      <c r="BG12" s="1"/>
      <c r="BH12" s="1"/>
      <c r="BI12" s="1"/>
      <c r="BJ12" s="1" t="s">
        <v>69</v>
      </c>
      <c r="BK12" s="1" t="s">
        <v>69</v>
      </c>
      <c r="BL12" s="1" t="s">
        <v>69</v>
      </c>
      <c r="BM12" s="1"/>
      <c r="BN12" s="1"/>
      <c r="BO12" s="1" t="s">
        <v>69</v>
      </c>
      <c r="BP12" s="1" t="s">
        <v>69</v>
      </c>
      <c r="BQ12" s="1"/>
      <c r="BR12" s="1"/>
      <c r="BS12" s="1"/>
      <c r="BT12" s="1"/>
      <c r="BU12" s="1"/>
      <c r="BV12" s="1"/>
      <c r="BW12" s="1"/>
      <c r="BX12" s="1"/>
      <c r="BY12" s="1"/>
      <c r="BZ12" s="1" t="s">
        <v>69</v>
      </c>
      <c r="CA12" s="1"/>
      <c r="CB12" s="1"/>
      <c r="CC12" s="1" t="s">
        <v>69</v>
      </c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 t="s">
        <v>69</v>
      </c>
      <c r="CS12" s="1"/>
      <c r="CT12" s="1"/>
      <c r="CU12" s="1"/>
      <c r="CV12" s="1"/>
    </row>
    <row r="13" spans="1:100" ht="15.75" customHeight="1" x14ac:dyDescent="0.25">
      <c r="A13" s="1" t="s">
        <v>89</v>
      </c>
      <c r="B13" s="1" t="s">
        <v>156</v>
      </c>
      <c r="C13" s="1" t="s">
        <v>62</v>
      </c>
      <c r="D13" s="1">
        <v>19.362100000000002</v>
      </c>
      <c r="E13" s="1" t="s">
        <v>153</v>
      </c>
      <c r="F13" s="2">
        <v>27</v>
      </c>
      <c r="G13" s="2">
        <v>20</v>
      </c>
      <c r="H13" s="2">
        <v>56</v>
      </c>
      <c r="I13" s="2">
        <v>81</v>
      </c>
      <c r="J13" s="3">
        <v>62943</v>
      </c>
      <c r="K13" s="4">
        <v>0.23400000000000001</v>
      </c>
      <c r="L13" s="4">
        <v>0.1903</v>
      </c>
      <c r="M13" s="5">
        <f>(23245-18268)/23245</f>
        <v>0.21411056141105614</v>
      </c>
      <c r="N13" s="6">
        <v>40803</v>
      </c>
      <c r="O13" s="1" t="s">
        <v>64</v>
      </c>
      <c r="P13" s="1">
        <v>1693101</v>
      </c>
      <c r="Q13" s="1">
        <v>5451</v>
      </c>
      <c r="R13" s="7">
        <v>65</v>
      </c>
      <c r="S13" s="7">
        <v>70</v>
      </c>
      <c r="T13" s="8">
        <v>0.21666666666666667</v>
      </c>
      <c r="U13" s="1"/>
      <c r="V13" s="8">
        <v>0.24444444444444444</v>
      </c>
      <c r="W13" s="1"/>
      <c r="X13" s="9">
        <v>10.799603174603099</v>
      </c>
      <c r="Y13" s="9">
        <v>20.221016280217</v>
      </c>
      <c r="Z13" s="9">
        <v>10.5876543209876</v>
      </c>
      <c r="AA13" s="9">
        <v>21.738693467336599</v>
      </c>
      <c r="AB13" s="7">
        <v>12</v>
      </c>
      <c r="AC13" s="9">
        <v>61.037036999999998</v>
      </c>
      <c r="AD13" s="9">
        <v>53.472222199999997</v>
      </c>
      <c r="AE13" s="9">
        <v>43.0625</v>
      </c>
      <c r="AF13" s="9">
        <v>41</v>
      </c>
      <c r="AG13" s="1">
        <v>3264</v>
      </c>
      <c r="AH13" s="7">
        <v>46</v>
      </c>
      <c r="AI13" s="7">
        <v>46</v>
      </c>
      <c r="AJ13" s="8">
        <v>0.27638888888888891</v>
      </c>
      <c r="AK13" s="1"/>
      <c r="AL13" s="8">
        <v>0.30694444444444446</v>
      </c>
      <c r="AM13" s="1"/>
      <c r="AN13" s="9">
        <v>24.3185185</v>
      </c>
      <c r="AO13" s="9">
        <v>23.1096866</v>
      </c>
      <c r="AP13" s="7">
        <v>6</v>
      </c>
      <c r="AQ13" s="9">
        <v>53.176470600000002</v>
      </c>
      <c r="AR13" s="9">
        <v>42.866666700000003</v>
      </c>
      <c r="AS13" s="1">
        <v>2164</v>
      </c>
      <c r="AT13" s="7">
        <v>29</v>
      </c>
      <c r="AU13" s="7">
        <v>29</v>
      </c>
      <c r="AV13" s="8">
        <v>0.28472222222222221</v>
      </c>
      <c r="AW13" s="1"/>
      <c r="AX13" s="8">
        <v>0.31458333333333333</v>
      </c>
      <c r="AY13" s="1"/>
      <c r="AZ13" s="9">
        <v>34.782539700000001</v>
      </c>
      <c r="BA13" s="9">
        <v>34.042327999999998</v>
      </c>
      <c r="BB13" s="7">
        <v>4</v>
      </c>
      <c r="BC13" s="9">
        <v>49.4166667</v>
      </c>
      <c r="BD13" s="9">
        <v>42.222222199999997</v>
      </c>
      <c r="BE13" s="1"/>
      <c r="BF13" s="1"/>
      <c r="BG13" s="1"/>
      <c r="BH13" s="1"/>
      <c r="BI13" s="1"/>
      <c r="BJ13" s="1" t="s">
        <v>69</v>
      </c>
      <c r="BK13" s="1" t="s">
        <v>69</v>
      </c>
      <c r="BL13" s="1" t="s">
        <v>69</v>
      </c>
      <c r="BM13" s="1"/>
      <c r="BN13" s="1"/>
      <c r="BO13" s="1" t="s">
        <v>69</v>
      </c>
      <c r="BP13" s="1" t="s">
        <v>69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 t="s">
        <v>69</v>
      </c>
      <c r="CS13" s="1"/>
      <c r="CT13" s="1"/>
      <c r="CU13" s="1"/>
      <c r="CV13" s="1"/>
    </row>
    <row r="14" spans="1:100" ht="15.75" customHeight="1" x14ac:dyDescent="0.25">
      <c r="A14" s="1">
        <v>64</v>
      </c>
      <c r="B14" s="1" t="s">
        <v>157</v>
      </c>
      <c r="C14" s="1" t="s">
        <v>62</v>
      </c>
      <c r="D14" s="1">
        <v>18.446100000000001</v>
      </c>
      <c r="E14" s="1" t="s">
        <v>71</v>
      </c>
      <c r="F14" s="2">
        <v>33</v>
      </c>
      <c r="G14" s="2">
        <v>26</v>
      </c>
      <c r="H14" s="2">
        <v>45</v>
      </c>
      <c r="I14" s="2">
        <v>44</v>
      </c>
      <c r="J14" s="3">
        <v>58262</v>
      </c>
      <c r="K14" s="4">
        <v>0.217</v>
      </c>
      <c r="L14" s="4">
        <v>0.2341</v>
      </c>
      <c r="M14" s="5">
        <f>(30189-23615)/30189</f>
        <v>0.21776143628473948</v>
      </c>
      <c r="N14" s="6">
        <v>55637</v>
      </c>
      <c r="O14" s="1" t="s">
        <v>158</v>
      </c>
      <c r="P14" s="1">
        <v>610011</v>
      </c>
      <c r="Q14" s="1">
        <v>1790</v>
      </c>
      <c r="R14" s="7">
        <v>40</v>
      </c>
      <c r="S14" s="7">
        <v>40</v>
      </c>
      <c r="T14" s="8">
        <v>0.21527777777777779</v>
      </c>
      <c r="U14" s="1"/>
      <c r="V14" s="8">
        <v>0.2361111111111111</v>
      </c>
      <c r="W14" s="1"/>
      <c r="X14" s="9">
        <v>29.8527777777777</v>
      </c>
      <c r="Y14" s="9">
        <v>30.080816326530599</v>
      </c>
      <c r="Z14" s="9">
        <v>26.2784503631961</v>
      </c>
      <c r="AA14" s="9">
        <v>30.203687445127301</v>
      </c>
      <c r="AB14" s="7">
        <v>5</v>
      </c>
      <c r="AC14" s="9">
        <v>53.357142899999999</v>
      </c>
      <c r="AD14" s="9">
        <v>46.9583333</v>
      </c>
      <c r="AE14" s="9">
        <v>49.6666667</v>
      </c>
      <c r="AF14" s="9">
        <v>42.086956499999999</v>
      </c>
      <c r="AG14" s="1">
        <v>1720</v>
      </c>
      <c r="AH14" s="7">
        <v>37</v>
      </c>
      <c r="AI14" s="7">
        <v>37</v>
      </c>
      <c r="AJ14" s="8">
        <v>0.26666666666666666</v>
      </c>
      <c r="AK14" s="1"/>
      <c r="AL14" s="8">
        <v>0.25763888888888886</v>
      </c>
      <c r="AM14" s="1"/>
      <c r="AN14" s="9">
        <v>30.0283333</v>
      </c>
      <c r="AO14" s="9">
        <v>30.0310734</v>
      </c>
      <c r="AP14" s="7">
        <v>4</v>
      </c>
      <c r="AQ14" s="9">
        <v>47.5</v>
      </c>
      <c r="AR14" s="9">
        <v>41.928571400000003</v>
      </c>
      <c r="AS14" s="1">
        <v>1067</v>
      </c>
      <c r="AT14" s="7">
        <v>23</v>
      </c>
      <c r="AU14" s="7">
        <v>23</v>
      </c>
      <c r="AV14" s="8">
        <v>0.27152777777777776</v>
      </c>
      <c r="AW14" s="1"/>
      <c r="AX14" s="8">
        <v>0.26527777777777778</v>
      </c>
      <c r="AY14" s="1"/>
      <c r="AZ14" s="9">
        <v>43.7285714</v>
      </c>
      <c r="BA14" s="9">
        <v>44.326876499999997</v>
      </c>
      <c r="BB14" s="7">
        <v>3</v>
      </c>
      <c r="BC14" s="9">
        <v>44.555555599999998</v>
      </c>
      <c r="BD14" s="9">
        <v>40.222222199999997</v>
      </c>
      <c r="BE14" s="1"/>
      <c r="BF14" s="1"/>
      <c r="BG14" s="1"/>
      <c r="BH14" s="1"/>
      <c r="BI14" s="1"/>
      <c r="BJ14" s="1" t="s">
        <v>69</v>
      </c>
      <c r="BK14" s="1" t="s">
        <v>69</v>
      </c>
      <c r="BL14" s="1"/>
      <c r="BM14" s="1"/>
      <c r="BN14" s="1" t="s">
        <v>69</v>
      </c>
      <c r="BO14" s="1" t="s">
        <v>69</v>
      </c>
      <c r="BP14" s="1"/>
      <c r="BQ14" s="1" t="s">
        <v>69</v>
      </c>
      <c r="BR14" s="1"/>
      <c r="BS14" s="1" t="s">
        <v>69</v>
      </c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 t="s">
        <v>69</v>
      </c>
      <c r="CU14" s="1"/>
      <c r="CV14" s="1"/>
    </row>
    <row r="15" spans="1:100" ht="15.75" customHeight="1" x14ac:dyDescent="0.25">
      <c r="A15" s="1">
        <v>65</v>
      </c>
      <c r="B15" s="1" t="s">
        <v>159</v>
      </c>
      <c r="C15" s="1" t="s">
        <v>62</v>
      </c>
      <c r="D15" s="1">
        <v>11.727499999999999</v>
      </c>
      <c r="E15" s="1" t="s">
        <v>63</v>
      </c>
      <c r="F15" s="2">
        <v>12</v>
      </c>
      <c r="G15" s="2">
        <v>3</v>
      </c>
      <c r="H15" s="2">
        <v>50</v>
      </c>
      <c r="I15" s="2">
        <v>39</v>
      </c>
      <c r="J15" s="3">
        <v>39665</v>
      </c>
      <c r="K15" s="4">
        <v>0.1918</v>
      </c>
      <c r="L15" s="4">
        <v>0.19239999999999999</v>
      </c>
      <c r="M15" s="5">
        <f>(15396-12060)/15396</f>
        <v>0.2166796570537802</v>
      </c>
      <c r="N15" s="6">
        <v>42868</v>
      </c>
      <c r="O15" s="1" t="s">
        <v>64</v>
      </c>
      <c r="P15" s="1">
        <v>112975</v>
      </c>
      <c r="Q15" s="1">
        <v>438</v>
      </c>
      <c r="R15" s="7">
        <v>13</v>
      </c>
      <c r="S15" s="7">
        <v>10</v>
      </c>
      <c r="T15" s="8">
        <v>0.25486111111111109</v>
      </c>
      <c r="U15" s="1"/>
      <c r="V15" s="8">
        <v>0.27777777777777779</v>
      </c>
      <c r="W15" s="1"/>
      <c r="X15" s="9">
        <v>24.209302325581302</v>
      </c>
      <c r="Y15" s="9">
        <v>27.78</v>
      </c>
      <c r="Z15" s="9">
        <v>31.770731707317001</v>
      </c>
      <c r="AA15" s="9" t="s">
        <v>67</v>
      </c>
      <c r="AB15" s="7">
        <v>3</v>
      </c>
      <c r="AC15" s="9">
        <v>31</v>
      </c>
      <c r="AD15" s="9">
        <v>25.6666667</v>
      </c>
      <c r="AE15" s="9">
        <v>26.222222200000001</v>
      </c>
      <c r="AF15" s="9">
        <v>17</v>
      </c>
      <c r="AG15" s="1" t="s">
        <v>68</v>
      </c>
      <c r="AH15" s="7">
        <v>0</v>
      </c>
      <c r="AI15" s="7">
        <v>0</v>
      </c>
      <c r="AJ15" s="11" t="s">
        <v>67</v>
      </c>
      <c r="AK15" s="1" t="s">
        <v>68</v>
      </c>
      <c r="AL15" s="11" t="s">
        <v>67</v>
      </c>
      <c r="AM15" s="1" t="s">
        <v>68</v>
      </c>
      <c r="AN15" s="10" t="s">
        <v>67</v>
      </c>
      <c r="AO15" s="10" t="s">
        <v>67</v>
      </c>
      <c r="AP15" s="11" t="s">
        <v>67</v>
      </c>
      <c r="AQ15" s="10" t="s">
        <v>67</v>
      </c>
      <c r="AR15" s="10" t="s">
        <v>67</v>
      </c>
      <c r="AS15" s="1" t="s">
        <v>68</v>
      </c>
      <c r="AT15" s="7">
        <v>0</v>
      </c>
      <c r="AU15" s="7">
        <v>0</v>
      </c>
      <c r="AV15" s="11" t="s">
        <v>67</v>
      </c>
      <c r="AW15" s="1" t="s">
        <v>68</v>
      </c>
      <c r="AX15" s="11" t="s">
        <v>67</v>
      </c>
      <c r="AY15" s="1" t="s">
        <v>68</v>
      </c>
      <c r="AZ15" s="10" t="s">
        <v>67</v>
      </c>
      <c r="BA15" s="10" t="s">
        <v>67</v>
      </c>
      <c r="BB15" s="11" t="s">
        <v>67</v>
      </c>
      <c r="BC15" s="10" t="s">
        <v>67</v>
      </c>
      <c r="BD15" s="10" t="s">
        <v>67</v>
      </c>
      <c r="BE15" s="1"/>
      <c r="BF15" s="1"/>
      <c r="BG15" s="1"/>
      <c r="BH15" s="1"/>
      <c r="BI15" s="1"/>
      <c r="BJ15" s="1"/>
      <c r="BK15" s="1" t="s">
        <v>69</v>
      </c>
      <c r="BL15" s="1" t="s">
        <v>69</v>
      </c>
      <c r="BM15" s="1"/>
      <c r="BN15" s="1"/>
      <c r="BO15" s="1"/>
      <c r="BP15" s="1" t="s">
        <v>69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 t="s">
        <v>69</v>
      </c>
      <c r="CS15" s="1"/>
      <c r="CT15" s="1"/>
      <c r="CU15" s="1"/>
      <c r="CV15" s="1"/>
    </row>
    <row r="16" spans="1:100" ht="15.75" customHeight="1" x14ac:dyDescent="0.25">
      <c r="A16" s="1">
        <v>67</v>
      </c>
      <c r="B16" s="1" t="s">
        <v>160</v>
      </c>
      <c r="C16" s="1" t="s">
        <v>107</v>
      </c>
      <c r="D16" s="1">
        <v>36.334299999999999</v>
      </c>
      <c r="E16" s="1" t="s">
        <v>71</v>
      </c>
      <c r="F16" s="2">
        <v>75</v>
      </c>
      <c r="G16" s="2">
        <v>62</v>
      </c>
      <c r="H16" s="2">
        <v>54</v>
      </c>
      <c r="I16" s="2">
        <v>97</v>
      </c>
      <c r="J16" s="3">
        <v>74685</v>
      </c>
      <c r="K16" s="4">
        <v>0.22819999999999999</v>
      </c>
      <c r="L16" s="4">
        <v>0.1691</v>
      </c>
      <c r="M16" s="5">
        <f>(29179-22434)/29179</f>
        <v>0.23115939545563591</v>
      </c>
      <c r="N16" s="6">
        <v>40289</v>
      </c>
      <c r="O16" s="1" t="s">
        <v>161</v>
      </c>
      <c r="P16" s="1">
        <v>627582</v>
      </c>
      <c r="Q16" s="1">
        <v>2146</v>
      </c>
      <c r="R16" s="7">
        <v>34</v>
      </c>
      <c r="S16" s="7">
        <v>27</v>
      </c>
      <c r="T16" s="8">
        <v>0.20555555555555555</v>
      </c>
      <c r="U16" s="1"/>
      <c r="V16" s="8">
        <v>0.25347222222222221</v>
      </c>
      <c r="W16" s="1"/>
      <c r="X16" s="9">
        <v>25.294502617801001</v>
      </c>
      <c r="Y16" s="9">
        <v>47.651676829268197</v>
      </c>
      <c r="Z16" s="9">
        <v>28.505747126436699</v>
      </c>
      <c r="AA16" s="9">
        <v>49.892895015906603</v>
      </c>
      <c r="AB16" s="7">
        <v>10</v>
      </c>
      <c r="AC16" s="9">
        <v>71.375</v>
      </c>
      <c r="AD16" s="9">
        <v>69</v>
      </c>
      <c r="AE16" s="9">
        <v>81.75</v>
      </c>
      <c r="AF16" s="9">
        <v>64.533333299999995</v>
      </c>
      <c r="AG16" s="1">
        <v>929</v>
      </c>
      <c r="AH16" s="7">
        <v>23</v>
      </c>
      <c r="AI16" s="7">
        <v>16</v>
      </c>
      <c r="AJ16" s="8">
        <v>0.26319444444444445</v>
      </c>
      <c r="AK16" s="1"/>
      <c r="AL16" s="8">
        <v>0.29166666666666669</v>
      </c>
      <c r="AM16" s="1"/>
      <c r="AN16" s="9">
        <v>60.196468000000003</v>
      </c>
      <c r="AO16" s="9">
        <v>62.889285700000002</v>
      </c>
      <c r="AP16" s="7">
        <v>4</v>
      </c>
      <c r="AQ16" s="9">
        <v>52.25</v>
      </c>
      <c r="AR16" s="9">
        <v>51.3333333</v>
      </c>
      <c r="AS16" s="1">
        <v>466</v>
      </c>
      <c r="AT16" s="7">
        <v>13</v>
      </c>
      <c r="AU16" s="7">
        <v>13</v>
      </c>
      <c r="AV16" s="8">
        <v>0.3034722222222222</v>
      </c>
      <c r="AW16" s="1"/>
      <c r="AX16" s="8">
        <v>0.33333333333333331</v>
      </c>
      <c r="AY16" s="1"/>
      <c r="AZ16" s="9">
        <v>61.424593999999999</v>
      </c>
      <c r="BA16" s="9">
        <v>61.6666667</v>
      </c>
      <c r="BB16" s="7">
        <v>2</v>
      </c>
      <c r="BC16" s="9">
        <v>54.142857100000001</v>
      </c>
      <c r="BD16" s="9">
        <v>48.8</v>
      </c>
      <c r="BE16" s="1"/>
      <c r="BF16" s="1"/>
      <c r="BG16" s="1"/>
      <c r="BH16" s="1"/>
      <c r="BI16" s="1"/>
      <c r="BJ16" s="1"/>
      <c r="BK16" s="1" t="s">
        <v>69</v>
      </c>
      <c r="BL16" s="1" t="s">
        <v>69</v>
      </c>
      <c r="BM16" s="1"/>
      <c r="BN16" s="1"/>
      <c r="BO16" s="1"/>
      <c r="BP16" s="1" t="s">
        <v>69</v>
      </c>
      <c r="BQ16" s="1"/>
      <c r="BR16" s="1"/>
      <c r="BS16" s="1"/>
      <c r="BT16" s="1"/>
      <c r="BU16" s="1"/>
      <c r="BV16" s="1"/>
      <c r="BW16" s="1" t="s">
        <v>69</v>
      </c>
      <c r="BX16" s="1" t="s">
        <v>69</v>
      </c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 t="s">
        <v>69</v>
      </c>
      <c r="CS16" s="1"/>
      <c r="CT16" s="1" t="s">
        <v>69</v>
      </c>
      <c r="CU16" s="1"/>
      <c r="CV16" s="1"/>
    </row>
    <row r="17" spans="1:100" ht="15.75" customHeight="1" x14ac:dyDescent="0.25">
      <c r="A17" s="1">
        <v>68</v>
      </c>
      <c r="B17" s="1" t="s">
        <v>162</v>
      </c>
      <c r="C17" s="1" t="s">
        <v>163</v>
      </c>
      <c r="D17" s="1">
        <v>20.979800000000001</v>
      </c>
      <c r="E17" s="1" t="s">
        <v>71</v>
      </c>
      <c r="F17" s="2">
        <v>68</v>
      </c>
      <c r="G17" s="2">
        <v>60</v>
      </c>
      <c r="H17" s="2">
        <v>8</v>
      </c>
      <c r="I17" s="2">
        <v>11</v>
      </c>
      <c r="J17" s="3">
        <v>24661</v>
      </c>
      <c r="K17" s="4">
        <v>0.25040000000000001</v>
      </c>
      <c r="L17" s="4">
        <v>0.1706</v>
      </c>
      <c r="M17" s="5">
        <f>(11916-9072)/11916</f>
        <v>0.23867069486404835</v>
      </c>
      <c r="N17" s="6">
        <v>40164</v>
      </c>
      <c r="O17" s="1" t="s">
        <v>161</v>
      </c>
      <c r="P17" s="1">
        <v>61681</v>
      </c>
      <c r="Q17" s="1">
        <v>100</v>
      </c>
      <c r="R17" s="7">
        <v>0</v>
      </c>
      <c r="S17" s="7">
        <v>0</v>
      </c>
      <c r="T17" s="11" t="s">
        <v>67</v>
      </c>
      <c r="U17" s="1"/>
      <c r="V17" s="11" t="s">
        <v>67</v>
      </c>
      <c r="W17" s="1"/>
      <c r="X17" s="9" t="s">
        <v>67</v>
      </c>
      <c r="Y17" s="9" t="s">
        <v>67</v>
      </c>
      <c r="Z17" s="9" t="s">
        <v>67</v>
      </c>
      <c r="AA17" s="9" t="s">
        <v>67</v>
      </c>
      <c r="AB17" s="11" t="s">
        <v>67</v>
      </c>
      <c r="AC17" s="10">
        <f>AVERAGE(AC16,AE16)</f>
        <v>76.5625</v>
      </c>
      <c r="AD17" s="10"/>
      <c r="AE17" s="10" t="s">
        <v>67</v>
      </c>
      <c r="AF17" s="10" t="s">
        <v>67</v>
      </c>
      <c r="AG17" s="1">
        <v>453</v>
      </c>
      <c r="AH17" s="7">
        <v>10</v>
      </c>
      <c r="AI17" s="7">
        <v>10</v>
      </c>
      <c r="AJ17" s="8">
        <v>0.33124999999999999</v>
      </c>
      <c r="AK17" s="1"/>
      <c r="AL17" s="8">
        <v>0.29791666666666666</v>
      </c>
      <c r="AM17" s="1"/>
      <c r="AN17" s="9">
        <v>90.164473700000002</v>
      </c>
      <c r="AO17" s="9">
        <v>91</v>
      </c>
      <c r="AP17" s="7">
        <v>2</v>
      </c>
      <c r="AQ17" s="9">
        <v>43.25</v>
      </c>
      <c r="AR17" s="9">
        <v>48.5</v>
      </c>
      <c r="AS17" s="1">
        <v>223</v>
      </c>
      <c r="AT17" s="7">
        <v>8</v>
      </c>
      <c r="AU17" s="7">
        <v>8</v>
      </c>
      <c r="AV17" s="8">
        <v>0.39444444444444443</v>
      </c>
      <c r="AW17" s="1"/>
      <c r="AX17" s="8">
        <v>0.3611111111111111</v>
      </c>
      <c r="AY17" s="1"/>
      <c r="AZ17" s="9">
        <v>90</v>
      </c>
      <c r="BA17" s="9">
        <v>90</v>
      </c>
      <c r="BB17" s="7">
        <v>1</v>
      </c>
      <c r="BC17" s="9">
        <v>41.3333333</v>
      </c>
      <c r="BD17" s="9">
        <v>43.3333333</v>
      </c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 t="s">
        <v>69</v>
      </c>
      <c r="BX17" s="1" t="s">
        <v>69</v>
      </c>
      <c r="BY17" s="1" t="s">
        <v>69</v>
      </c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 t="s">
        <v>69</v>
      </c>
      <c r="CU17" s="1"/>
      <c r="CV17" s="1"/>
    </row>
    <row r="18" spans="1:100" ht="15.75" customHeight="1" x14ac:dyDescent="0.25">
      <c r="A18" s="1">
        <v>69</v>
      </c>
      <c r="B18" s="1" t="s">
        <v>164</v>
      </c>
      <c r="C18" s="1" t="s">
        <v>107</v>
      </c>
      <c r="D18" s="1">
        <v>39.2303</v>
      </c>
      <c r="E18" s="1" t="s">
        <v>71</v>
      </c>
      <c r="F18" s="2">
        <v>87</v>
      </c>
      <c r="G18" s="2">
        <v>72</v>
      </c>
      <c r="H18" s="2">
        <v>58</v>
      </c>
      <c r="I18" s="2">
        <v>98</v>
      </c>
      <c r="J18" s="3">
        <v>81423</v>
      </c>
      <c r="K18" s="4">
        <v>0.23619999999999999</v>
      </c>
      <c r="L18" s="4">
        <v>0.16300000000000001</v>
      </c>
      <c r="M18" s="5">
        <f>(31737-24537)/31737</f>
        <v>0.22686454296247283</v>
      </c>
      <c r="N18" s="6">
        <v>39760</v>
      </c>
      <c r="O18" s="1" t="s">
        <v>161</v>
      </c>
      <c r="P18" s="1">
        <v>427997</v>
      </c>
      <c r="Q18" s="1">
        <v>1530</v>
      </c>
      <c r="R18" s="7">
        <v>27</v>
      </c>
      <c r="S18" s="7">
        <v>24</v>
      </c>
      <c r="T18" s="8">
        <v>0.17916666666666667</v>
      </c>
      <c r="U18" s="1"/>
      <c r="V18" s="8">
        <v>0.2361111111111111</v>
      </c>
      <c r="W18" s="1"/>
      <c r="X18" s="9">
        <v>42.453825857519703</v>
      </c>
      <c r="Y18" s="9">
        <v>47.4016927083333</v>
      </c>
      <c r="Z18" s="9">
        <v>31.8215339233038</v>
      </c>
      <c r="AA18" s="9">
        <v>53.4075546719681</v>
      </c>
      <c r="AB18" s="7">
        <v>9</v>
      </c>
      <c r="AC18" s="9">
        <v>80.666666699999993</v>
      </c>
      <c r="AD18" s="9">
        <v>74</v>
      </c>
      <c r="AE18" s="9">
        <v>84</v>
      </c>
      <c r="AF18" s="9">
        <v>73.833333300000007</v>
      </c>
      <c r="AG18" s="1">
        <v>369</v>
      </c>
      <c r="AH18" s="7">
        <v>11</v>
      </c>
      <c r="AI18" s="7">
        <v>11</v>
      </c>
      <c r="AJ18" s="8">
        <v>0.2986111111111111</v>
      </c>
      <c r="AK18" s="1"/>
      <c r="AL18" s="8">
        <v>0.27083333333333331</v>
      </c>
      <c r="AM18" s="1"/>
      <c r="AN18" s="9">
        <v>92</v>
      </c>
      <c r="AO18" s="9">
        <v>89.743055600000005</v>
      </c>
      <c r="AP18" s="7">
        <v>1</v>
      </c>
      <c r="AQ18" s="9">
        <v>42</v>
      </c>
      <c r="AR18" s="9">
        <v>40.75</v>
      </c>
      <c r="AS18" s="1">
        <v>256</v>
      </c>
      <c r="AT18" s="7">
        <v>10</v>
      </c>
      <c r="AU18" s="7">
        <v>10</v>
      </c>
      <c r="AV18" s="8">
        <v>0.35972222222222222</v>
      </c>
      <c r="AW18" s="1"/>
      <c r="AX18" s="8">
        <v>0.33194444444444443</v>
      </c>
      <c r="AY18" s="1"/>
      <c r="AZ18" s="9">
        <v>90</v>
      </c>
      <c r="BA18" s="9">
        <v>91.1875</v>
      </c>
      <c r="BB18" s="7">
        <v>1</v>
      </c>
      <c r="BC18" s="9">
        <v>43</v>
      </c>
      <c r="BD18" s="9">
        <v>37.5</v>
      </c>
      <c r="BE18" s="1"/>
      <c r="BF18" s="1"/>
      <c r="BG18" s="1"/>
      <c r="BH18" s="1"/>
      <c r="BI18" s="1"/>
      <c r="BJ18" s="1"/>
      <c r="BK18" s="1" t="s">
        <v>69</v>
      </c>
      <c r="BL18" s="1" t="s">
        <v>69</v>
      </c>
      <c r="BM18" s="1"/>
      <c r="BN18" s="1"/>
      <c r="BO18" s="1"/>
      <c r="BP18" s="1" t="s">
        <v>69</v>
      </c>
      <c r="BQ18" s="1"/>
      <c r="BR18" s="1"/>
      <c r="BS18" s="1"/>
      <c r="BT18" s="1"/>
      <c r="BU18" s="1"/>
      <c r="BV18" s="1"/>
      <c r="BW18" s="1" t="s">
        <v>69</v>
      </c>
      <c r="BX18" s="1" t="s">
        <v>69</v>
      </c>
      <c r="BY18" s="1" t="s">
        <v>69</v>
      </c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 t="s">
        <v>69</v>
      </c>
      <c r="CR18" s="1" t="s">
        <v>69</v>
      </c>
      <c r="CS18" s="1"/>
      <c r="CT18" s="1" t="s">
        <v>69</v>
      </c>
      <c r="CU18" s="1"/>
      <c r="CV18" s="1"/>
    </row>
    <row r="19" spans="1:100" ht="15.75" customHeight="1" x14ac:dyDescent="0.25">
      <c r="A19" s="1">
        <v>71</v>
      </c>
      <c r="B19" s="1" t="s">
        <v>165</v>
      </c>
      <c r="C19" s="1" t="s">
        <v>107</v>
      </c>
      <c r="D19" s="1">
        <v>11.347899999999999</v>
      </c>
      <c r="E19" s="1" t="s">
        <v>71</v>
      </c>
      <c r="F19" s="2">
        <v>18</v>
      </c>
      <c r="G19" s="2">
        <v>14</v>
      </c>
      <c r="H19" s="2">
        <v>59</v>
      </c>
      <c r="I19" s="2">
        <v>16</v>
      </c>
      <c r="J19" s="3">
        <v>21653</v>
      </c>
      <c r="K19" s="44">
        <v>0.26979999999999998</v>
      </c>
      <c r="L19" s="4">
        <v>0.25919999999999999</v>
      </c>
      <c r="M19" s="5">
        <f>(10695-8158)/10695</f>
        <v>0.23721365123889668</v>
      </c>
      <c r="N19" s="6">
        <v>43069</v>
      </c>
      <c r="O19" s="1" t="s">
        <v>161</v>
      </c>
      <c r="P19" s="1">
        <v>23232</v>
      </c>
      <c r="Q19" s="1">
        <v>90</v>
      </c>
      <c r="R19" s="7">
        <v>7</v>
      </c>
      <c r="S19" s="7">
        <v>7</v>
      </c>
      <c r="T19" s="8">
        <v>0.375</v>
      </c>
      <c r="U19" s="1"/>
      <c r="V19" s="8">
        <v>0.35416666666666669</v>
      </c>
      <c r="W19" s="1"/>
      <c r="X19" s="9" t="s">
        <v>67</v>
      </c>
      <c r="Y19" s="9">
        <v>70</v>
      </c>
      <c r="Z19" s="9" t="s">
        <v>67</v>
      </c>
      <c r="AA19" s="9">
        <v>70</v>
      </c>
      <c r="AB19" s="7">
        <v>1</v>
      </c>
      <c r="AC19" s="9">
        <v>31</v>
      </c>
      <c r="AD19" s="9">
        <v>31</v>
      </c>
      <c r="AE19" s="9">
        <v>30</v>
      </c>
      <c r="AF19" s="9">
        <v>30</v>
      </c>
      <c r="AG19" s="1" t="s">
        <v>68</v>
      </c>
      <c r="AH19" s="7">
        <v>0</v>
      </c>
      <c r="AI19" s="7">
        <v>0</v>
      </c>
      <c r="AJ19" s="11" t="s">
        <v>67</v>
      </c>
      <c r="AK19" s="1" t="s">
        <v>68</v>
      </c>
      <c r="AL19" s="11" t="s">
        <v>67</v>
      </c>
      <c r="AM19" s="1" t="s">
        <v>68</v>
      </c>
      <c r="AN19" s="10" t="s">
        <v>67</v>
      </c>
      <c r="AO19" s="10" t="s">
        <v>67</v>
      </c>
      <c r="AP19" s="11" t="s">
        <v>67</v>
      </c>
      <c r="AQ19" s="10" t="s">
        <v>67</v>
      </c>
      <c r="AR19" s="10" t="s">
        <v>67</v>
      </c>
      <c r="AS19" s="1" t="s">
        <v>68</v>
      </c>
      <c r="AT19" s="7">
        <v>0</v>
      </c>
      <c r="AU19" s="7">
        <v>0</v>
      </c>
      <c r="AV19" s="11" t="s">
        <v>67</v>
      </c>
      <c r="AW19" s="1" t="s">
        <v>68</v>
      </c>
      <c r="AX19" s="11" t="s">
        <v>67</v>
      </c>
      <c r="AY19" s="1" t="s">
        <v>68</v>
      </c>
      <c r="AZ19" s="10" t="s">
        <v>67</v>
      </c>
      <c r="BA19" s="10" t="s">
        <v>67</v>
      </c>
      <c r="BB19" s="11" t="s">
        <v>67</v>
      </c>
      <c r="BC19" s="10" t="s">
        <v>67</v>
      </c>
      <c r="BD19" s="10" t="s">
        <v>67</v>
      </c>
      <c r="BE19" s="1"/>
      <c r="BF19" s="1"/>
      <c r="BG19" s="1"/>
      <c r="BH19" s="1"/>
      <c r="BI19" s="1"/>
      <c r="BJ19" s="1"/>
      <c r="BK19" s="1" t="s">
        <v>69</v>
      </c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 t="s">
        <v>69</v>
      </c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15.75" customHeight="1" x14ac:dyDescent="0.25">
      <c r="A20" s="1" t="s">
        <v>90</v>
      </c>
      <c r="B20" s="1" t="s">
        <v>166</v>
      </c>
      <c r="C20" s="1" t="s">
        <v>163</v>
      </c>
      <c r="D20" s="1">
        <v>17.270199999999999</v>
      </c>
      <c r="E20" s="1" t="s">
        <v>153</v>
      </c>
      <c r="F20" s="2">
        <v>51</v>
      </c>
      <c r="G20" s="2">
        <v>43</v>
      </c>
      <c r="H20" s="2">
        <v>41</v>
      </c>
      <c r="I20" s="2">
        <v>79</v>
      </c>
      <c r="J20" s="3">
        <v>77711</v>
      </c>
      <c r="K20" s="44">
        <v>0.25090000000000001</v>
      </c>
      <c r="L20" s="4">
        <v>0.22059999999999999</v>
      </c>
      <c r="M20" s="4">
        <f>(33821-24926)/33821</f>
        <v>0.26300227669199611</v>
      </c>
      <c r="N20" s="6">
        <v>37259</v>
      </c>
      <c r="O20" s="1" t="s">
        <v>161</v>
      </c>
      <c r="P20" s="1">
        <v>1769612</v>
      </c>
      <c r="Q20" s="1">
        <v>5812</v>
      </c>
      <c r="R20" s="7">
        <v>61</v>
      </c>
      <c r="S20" s="7">
        <v>61</v>
      </c>
      <c r="T20" s="8">
        <v>0.21736111111111112</v>
      </c>
      <c r="U20" s="1"/>
      <c r="V20" s="8">
        <v>0.25069444444444444</v>
      </c>
      <c r="W20" s="1"/>
      <c r="X20" s="9">
        <v>15.699561403508699</v>
      </c>
      <c r="Y20" s="9">
        <v>19.3161592505854</v>
      </c>
      <c r="Z20" s="9">
        <v>15.5173611111111</v>
      </c>
      <c r="AA20" s="9">
        <v>19.9498175182481</v>
      </c>
      <c r="AB20" s="7">
        <v>9</v>
      </c>
      <c r="AC20" s="9">
        <v>58.5833333</v>
      </c>
      <c r="AD20" s="9">
        <v>54.108108100000003</v>
      </c>
      <c r="AE20" s="9">
        <v>52.807692299999999</v>
      </c>
      <c r="AF20" s="9">
        <v>48.617647099999999</v>
      </c>
      <c r="AG20" s="1">
        <v>3099</v>
      </c>
      <c r="AH20" s="7">
        <v>36</v>
      </c>
      <c r="AI20" s="7">
        <v>36</v>
      </c>
      <c r="AJ20" s="8">
        <v>0.23749999999999999</v>
      </c>
      <c r="AK20" s="1"/>
      <c r="AL20" s="8">
        <v>0.26805555555555555</v>
      </c>
      <c r="AM20" s="1"/>
      <c r="AN20" s="9">
        <v>29.911184200000001</v>
      </c>
      <c r="AO20" s="9">
        <v>30.3573232</v>
      </c>
      <c r="AP20" s="7">
        <v>4</v>
      </c>
      <c r="AQ20" s="9">
        <v>49.285714300000002</v>
      </c>
      <c r="AR20" s="9">
        <v>46.307692299999999</v>
      </c>
      <c r="AS20" s="1">
        <v>1981</v>
      </c>
      <c r="AT20" s="7">
        <v>27</v>
      </c>
      <c r="AU20" s="7">
        <v>27</v>
      </c>
      <c r="AV20" s="8">
        <v>0.25208333333333333</v>
      </c>
      <c r="AW20" s="1"/>
      <c r="AX20" s="8">
        <v>0.27916666666666667</v>
      </c>
      <c r="AY20" s="1"/>
      <c r="AZ20" s="9">
        <v>43.194078900000001</v>
      </c>
      <c r="BA20" s="9">
        <v>40.557098799999999</v>
      </c>
      <c r="BB20" s="7">
        <v>4</v>
      </c>
      <c r="BC20" s="9">
        <v>46.3</v>
      </c>
      <c r="BD20" s="9">
        <v>44.454545500000002</v>
      </c>
      <c r="BE20" s="1"/>
      <c r="BF20" s="1"/>
      <c r="BG20" s="1"/>
      <c r="BH20" s="1"/>
      <c r="BI20" s="1"/>
      <c r="BJ20" s="1"/>
      <c r="BK20" s="1"/>
      <c r="BL20" s="1" t="s">
        <v>69</v>
      </c>
      <c r="BM20" s="1"/>
      <c r="BN20" s="1" t="s">
        <v>69</v>
      </c>
      <c r="BO20" s="1"/>
      <c r="BP20" s="1" t="s">
        <v>69</v>
      </c>
      <c r="BQ20" s="1" t="s">
        <v>69</v>
      </c>
      <c r="BR20" s="1"/>
      <c r="BS20" s="1" t="s">
        <v>69</v>
      </c>
      <c r="BT20" s="1"/>
      <c r="BU20" s="1"/>
      <c r="BV20" s="1"/>
      <c r="BW20" s="1"/>
      <c r="BX20" s="1" t="s">
        <v>69</v>
      </c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 t="s">
        <v>69</v>
      </c>
      <c r="CS20" s="1"/>
      <c r="CT20" s="1" t="s">
        <v>69</v>
      </c>
      <c r="CU20" s="1"/>
      <c r="CV20" s="1"/>
    </row>
    <row r="21" spans="1:100" ht="15.75" customHeight="1" x14ac:dyDescent="0.25">
      <c r="A21" s="1" t="s">
        <v>91</v>
      </c>
      <c r="B21" s="1" t="s">
        <v>167</v>
      </c>
      <c r="C21" s="1" t="s">
        <v>163</v>
      </c>
      <c r="D21" s="1">
        <v>16.556799999999999</v>
      </c>
      <c r="E21" s="1" t="s">
        <v>153</v>
      </c>
      <c r="F21" s="2">
        <v>41</v>
      </c>
      <c r="G21" s="2">
        <v>34</v>
      </c>
      <c r="H21" s="2">
        <v>53</v>
      </c>
      <c r="I21" s="2">
        <v>69</v>
      </c>
      <c r="J21" s="3">
        <v>71731</v>
      </c>
      <c r="K21" s="44">
        <v>0.26750000000000002</v>
      </c>
      <c r="L21" s="4">
        <v>0.22070000000000001</v>
      </c>
      <c r="M21" s="5">
        <f>(29339-21354)/29339</f>
        <v>0.27216333208357474</v>
      </c>
      <c r="N21" s="6">
        <v>35803</v>
      </c>
      <c r="O21" s="1" t="s">
        <v>161</v>
      </c>
      <c r="P21" s="1">
        <v>1357794</v>
      </c>
      <c r="Q21" s="1">
        <v>4572</v>
      </c>
      <c r="R21" s="7">
        <v>67</v>
      </c>
      <c r="S21" s="7">
        <v>64</v>
      </c>
      <c r="T21" s="8">
        <v>0.17499999999999999</v>
      </c>
      <c r="U21" s="1"/>
      <c r="V21" s="8">
        <v>0.2</v>
      </c>
      <c r="W21" s="1"/>
      <c r="X21" s="9">
        <v>12.580676328502401</v>
      </c>
      <c r="Y21" s="9">
        <v>20.696346073078502</v>
      </c>
      <c r="Z21" s="9">
        <v>16.049465240641702</v>
      </c>
      <c r="AA21" s="9">
        <v>21.136363636363601</v>
      </c>
      <c r="AB21" s="7">
        <v>8</v>
      </c>
      <c r="AC21" s="9">
        <v>51.111111100000002</v>
      </c>
      <c r="AD21" s="9">
        <v>44.1578947</v>
      </c>
      <c r="AE21" s="9">
        <v>44.92</v>
      </c>
      <c r="AF21" s="9">
        <v>40.638888899999998</v>
      </c>
      <c r="AG21" s="1">
        <v>1969</v>
      </c>
      <c r="AH21" s="7">
        <v>39</v>
      </c>
      <c r="AI21" s="7">
        <v>39</v>
      </c>
      <c r="AJ21" s="8">
        <v>0.21527777777777779</v>
      </c>
      <c r="AK21" s="1"/>
      <c r="AL21" s="8">
        <v>0.24166666666666667</v>
      </c>
      <c r="AM21" s="1"/>
      <c r="AN21" s="9">
        <v>29.907004799999999</v>
      </c>
      <c r="AO21" s="9">
        <v>30.126470600000001</v>
      </c>
      <c r="AP21" s="7">
        <v>4</v>
      </c>
      <c r="AQ21" s="9">
        <v>42.928571400000003</v>
      </c>
      <c r="AR21" s="9">
        <v>42</v>
      </c>
      <c r="AS21" s="1">
        <v>1378</v>
      </c>
      <c r="AT21" s="7">
        <v>29</v>
      </c>
      <c r="AU21" s="7">
        <v>29</v>
      </c>
      <c r="AV21" s="8">
        <v>0.1986111111111111</v>
      </c>
      <c r="AW21" s="1"/>
      <c r="AX21" s="8">
        <v>0.22430555555555556</v>
      </c>
      <c r="AY21" s="1"/>
      <c r="AZ21" s="9">
        <v>44.913043500000001</v>
      </c>
      <c r="BA21" s="9">
        <v>45.061274500000003</v>
      </c>
      <c r="BB21" s="7">
        <v>3</v>
      </c>
      <c r="BC21" s="9">
        <v>41</v>
      </c>
      <c r="BD21" s="9">
        <v>39.5</v>
      </c>
      <c r="BE21" s="1"/>
      <c r="BF21" s="1"/>
      <c r="BG21" s="1"/>
      <c r="BH21" s="1"/>
      <c r="BI21" s="1"/>
      <c r="BJ21" s="1"/>
      <c r="BK21" s="1" t="s">
        <v>69</v>
      </c>
      <c r="BL21" s="1" t="s">
        <v>69</v>
      </c>
      <c r="BM21" s="1"/>
      <c r="BN21" s="1" t="s">
        <v>69</v>
      </c>
      <c r="BO21" s="1"/>
      <c r="BP21" s="1" t="s">
        <v>69</v>
      </c>
      <c r="BQ21" s="1" t="s">
        <v>69</v>
      </c>
      <c r="BR21" s="1"/>
      <c r="BS21" s="1"/>
      <c r="BT21" s="1"/>
      <c r="BU21" s="1"/>
      <c r="BV21" s="1"/>
      <c r="BW21" s="1"/>
      <c r="BX21" s="1" t="s">
        <v>69</v>
      </c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 t="s">
        <v>69</v>
      </c>
      <c r="CS21" s="1"/>
      <c r="CT21" s="1" t="s">
        <v>69</v>
      </c>
      <c r="CU21" s="1"/>
      <c r="CV21" s="1"/>
    </row>
    <row r="22" spans="1:100" ht="15.75" customHeight="1" x14ac:dyDescent="0.25">
      <c r="A22" s="1">
        <v>74</v>
      </c>
      <c r="B22" s="1" t="s">
        <v>168</v>
      </c>
      <c r="C22" s="1" t="s">
        <v>62</v>
      </c>
      <c r="D22" s="1">
        <v>18.184999999999999</v>
      </c>
      <c r="E22" s="1" t="s">
        <v>71</v>
      </c>
      <c r="F22" s="2">
        <v>74</v>
      </c>
      <c r="G22" s="2">
        <v>70</v>
      </c>
      <c r="H22" s="2">
        <v>36</v>
      </c>
      <c r="I22" s="2">
        <v>28</v>
      </c>
      <c r="J22" s="3">
        <v>44950</v>
      </c>
      <c r="K22" s="44">
        <v>0.29959999999999998</v>
      </c>
      <c r="L22" s="4">
        <v>0.25719999999999998</v>
      </c>
      <c r="M22" s="5">
        <f>(21316-16002)/21316</f>
        <v>0.24929630324638768</v>
      </c>
      <c r="N22" s="6">
        <v>52107</v>
      </c>
      <c r="O22" s="1" t="s">
        <v>161</v>
      </c>
      <c r="P22" s="1">
        <v>278958</v>
      </c>
      <c r="Q22" s="1">
        <v>983</v>
      </c>
      <c r="R22" s="7">
        <v>28</v>
      </c>
      <c r="S22" s="7">
        <v>27</v>
      </c>
      <c r="T22" s="8">
        <v>0.24791666666666667</v>
      </c>
      <c r="U22" s="1"/>
      <c r="V22" s="8">
        <v>0.23819444444444443</v>
      </c>
      <c r="W22" s="1"/>
      <c r="X22" s="9">
        <v>35.324742268041199</v>
      </c>
      <c r="Y22" s="9">
        <v>39.6451149425287</v>
      </c>
      <c r="Z22" s="9">
        <v>38.1</v>
      </c>
      <c r="AA22" s="9">
        <v>40.595256916996</v>
      </c>
      <c r="AB22" s="7">
        <v>3</v>
      </c>
      <c r="AC22" s="9">
        <v>49</v>
      </c>
      <c r="AD22" s="9">
        <v>41.444444400000002</v>
      </c>
      <c r="AE22" s="9">
        <v>47.8</v>
      </c>
      <c r="AF22" s="9">
        <v>43.823529399999998</v>
      </c>
      <c r="AG22" s="1">
        <v>486</v>
      </c>
      <c r="AH22" s="7">
        <v>22</v>
      </c>
      <c r="AI22" s="7">
        <v>22</v>
      </c>
      <c r="AJ22" s="8">
        <v>0.30694444444444446</v>
      </c>
      <c r="AK22" s="1"/>
      <c r="AL22" s="8">
        <v>0.28125</v>
      </c>
      <c r="AM22" s="1"/>
      <c r="AN22" s="9">
        <v>46.282196999999996</v>
      </c>
      <c r="AO22" s="9">
        <v>46.667247400000001</v>
      </c>
      <c r="AP22" s="7">
        <v>2</v>
      </c>
      <c r="AQ22" s="9">
        <v>36.625</v>
      </c>
      <c r="AR22" s="9">
        <v>39.222222199999997</v>
      </c>
      <c r="AS22" s="1" t="s">
        <v>68</v>
      </c>
      <c r="AT22" s="7">
        <v>0</v>
      </c>
      <c r="AU22" s="7">
        <v>0</v>
      </c>
      <c r="AV22" s="11" t="s">
        <v>67</v>
      </c>
      <c r="AW22" s="1" t="s">
        <v>68</v>
      </c>
      <c r="AX22" s="11" t="s">
        <v>67</v>
      </c>
      <c r="AY22" s="1" t="s">
        <v>68</v>
      </c>
      <c r="AZ22" s="10" t="s">
        <v>67</v>
      </c>
      <c r="BA22" s="10" t="s">
        <v>67</v>
      </c>
      <c r="BB22" s="11" t="s">
        <v>67</v>
      </c>
      <c r="BC22" s="10" t="s">
        <v>67</v>
      </c>
      <c r="BD22" s="10" t="s">
        <v>67</v>
      </c>
      <c r="BE22" s="1"/>
      <c r="BF22" s="1"/>
      <c r="BG22" s="1"/>
      <c r="BH22" s="1"/>
      <c r="BI22" s="1"/>
      <c r="BJ22" s="1"/>
      <c r="BK22" s="1" t="s">
        <v>69</v>
      </c>
      <c r="BL22" s="1"/>
      <c r="BM22" s="1"/>
      <c r="BN22" s="1" t="s">
        <v>69</v>
      </c>
      <c r="BO22" s="1"/>
      <c r="BP22" s="1"/>
      <c r="BQ22" s="1" t="s">
        <v>69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 t="s">
        <v>69</v>
      </c>
      <c r="CU22" s="1"/>
      <c r="CV22" s="1"/>
    </row>
    <row r="23" spans="1:100" ht="15.75" customHeight="1" x14ac:dyDescent="0.25">
      <c r="A23" s="1">
        <v>77</v>
      </c>
      <c r="B23" s="1" t="s">
        <v>169</v>
      </c>
      <c r="C23" s="1" t="s">
        <v>163</v>
      </c>
      <c r="D23" s="1">
        <v>37.951099999999997</v>
      </c>
      <c r="E23" s="1" t="s">
        <v>71</v>
      </c>
      <c r="F23" s="2">
        <v>124</v>
      </c>
      <c r="G23" s="2">
        <v>120</v>
      </c>
      <c r="H23" s="2">
        <v>32</v>
      </c>
      <c r="I23" s="2">
        <v>70</v>
      </c>
      <c r="J23" s="3">
        <v>71847</v>
      </c>
      <c r="K23" s="44">
        <v>0.26779999999999998</v>
      </c>
      <c r="L23" s="4">
        <v>0.2009</v>
      </c>
      <c r="M23" s="4">
        <f>(33854-24980)/33854</f>
        <v>0.26212559815679093</v>
      </c>
      <c r="N23" s="6">
        <v>40854</v>
      </c>
      <c r="O23" s="1" t="s">
        <v>161</v>
      </c>
      <c r="P23" s="1">
        <v>699147</v>
      </c>
      <c r="Q23" s="1">
        <v>2335</v>
      </c>
      <c r="R23" s="7">
        <v>31</v>
      </c>
      <c r="S23" s="7">
        <v>31</v>
      </c>
      <c r="T23" s="8">
        <v>0.19236111111111112</v>
      </c>
      <c r="U23" s="1"/>
      <c r="V23" s="8">
        <v>0.24652777777777779</v>
      </c>
      <c r="W23" s="1"/>
      <c r="X23" s="9">
        <v>34.778716216216203</v>
      </c>
      <c r="Y23" s="9">
        <v>39.846610588817398</v>
      </c>
      <c r="Z23" s="9">
        <v>33.916073968705497</v>
      </c>
      <c r="AA23" s="9">
        <v>42.478411053540498</v>
      </c>
      <c r="AB23" s="7">
        <v>6</v>
      </c>
      <c r="AC23" s="9">
        <v>78.454545499999995</v>
      </c>
      <c r="AD23" s="9">
        <v>80.45</v>
      </c>
      <c r="AE23" s="9">
        <v>80</v>
      </c>
      <c r="AF23" s="9">
        <v>72.277777799999996</v>
      </c>
      <c r="AG23" s="1">
        <v>1121</v>
      </c>
      <c r="AH23" s="7">
        <v>22</v>
      </c>
      <c r="AI23" s="7">
        <v>16</v>
      </c>
      <c r="AJ23" s="8">
        <v>0.25624999999999998</v>
      </c>
      <c r="AK23" s="1"/>
      <c r="AL23" s="8">
        <v>0.29166666666666669</v>
      </c>
      <c r="AM23" s="1"/>
      <c r="AN23" s="9">
        <v>62.523195899999997</v>
      </c>
      <c r="AO23" s="9">
        <v>68.426630399999993</v>
      </c>
      <c r="AP23" s="7">
        <v>3</v>
      </c>
      <c r="AQ23" s="9">
        <v>44.375</v>
      </c>
      <c r="AR23" s="9">
        <v>54.8333333</v>
      </c>
      <c r="AS23" s="1">
        <v>699</v>
      </c>
      <c r="AT23" s="7">
        <v>20</v>
      </c>
      <c r="AU23" s="7">
        <v>14</v>
      </c>
      <c r="AV23" s="8">
        <v>0.2673611111111111</v>
      </c>
      <c r="AW23" s="1"/>
      <c r="AX23" s="8">
        <v>0.30138888888888887</v>
      </c>
      <c r="AY23" s="1"/>
      <c r="AZ23" s="9">
        <v>59.505175999999999</v>
      </c>
      <c r="BA23" s="9">
        <v>61.6</v>
      </c>
      <c r="BB23" s="7">
        <v>4</v>
      </c>
      <c r="BC23" s="9">
        <v>41.777777800000003</v>
      </c>
      <c r="BD23" s="9">
        <v>50.428571400000003</v>
      </c>
      <c r="BE23" s="1"/>
      <c r="BF23" s="1"/>
      <c r="BG23" s="1"/>
      <c r="BH23" s="1"/>
      <c r="BI23" s="1"/>
      <c r="BJ23" s="1"/>
      <c r="BK23" s="1"/>
      <c r="BL23" s="1"/>
      <c r="BM23" s="1"/>
      <c r="BN23" s="1" t="s">
        <v>69</v>
      </c>
      <c r="BO23" s="1"/>
      <c r="BP23" s="1" t="s">
        <v>69</v>
      </c>
      <c r="BQ23" s="1" t="s">
        <v>69</v>
      </c>
      <c r="BR23" s="1" t="s">
        <v>69</v>
      </c>
      <c r="BS23" s="1" t="s">
        <v>69</v>
      </c>
      <c r="BT23" s="1"/>
      <c r="BU23" s="1" t="s">
        <v>69</v>
      </c>
      <c r="BV23" s="1" t="s">
        <v>69</v>
      </c>
      <c r="BW23" s="1" t="s">
        <v>69</v>
      </c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 t="s">
        <v>69</v>
      </c>
      <c r="CS23" s="1"/>
      <c r="CT23" s="1" t="s">
        <v>69</v>
      </c>
      <c r="CU23" s="1"/>
      <c r="CV23" s="1"/>
    </row>
    <row r="24" spans="1:100" ht="15.75" customHeight="1" x14ac:dyDescent="0.25">
      <c r="A24" s="1">
        <v>79</v>
      </c>
      <c r="B24" s="1" t="s">
        <v>170</v>
      </c>
      <c r="C24" s="1" t="s">
        <v>163</v>
      </c>
      <c r="D24" s="1">
        <v>13.9617</v>
      </c>
      <c r="E24" s="1" t="s">
        <v>71</v>
      </c>
      <c r="F24" s="2">
        <v>28</v>
      </c>
      <c r="G24" s="2">
        <v>26</v>
      </c>
      <c r="H24" s="2">
        <v>57</v>
      </c>
      <c r="I24" s="2">
        <v>12</v>
      </c>
      <c r="J24" s="3">
        <v>20587</v>
      </c>
      <c r="K24" s="44">
        <v>0.35759999999999997</v>
      </c>
      <c r="L24" s="4">
        <v>0.2482</v>
      </c>
      <c r="M24" s="5">
        <f>(9627-6484)/9627</f>
        <v>0.32647761504103046</v>
      </c>
      <c r="N24" s="6">
        <v>33766</v>
      </c>
      <c r="O24" s="1" t="s">
        <v>161</v>
      </c>
      <c r="P24" s="1">
        <v>38240</v>
      </c>
      <c r="Q24" s="1" t="s">
        <v>74</v>
      </c>
      <c r="R24" s="7">
        <v>39</v>
      </c>
      <c r="S24" s="7">
        <v>39</v>
      </c>
      <c r="T24" s="8">
        <v>0.21666666666666667</v>
      </c>
      <c r="U24" s="1"/>
      <c r="V24" s="8">
        <v>0.24583333333333332</v>
      </c>
      <c r="W24" s="1"/>
      <c r="X24" s="9">
        <v>32.214634146341403</v>
      </c>
      <c r="Y24" s="9">
        <v>36.625212947189098</v>
      </c>
      <c r="Z24" s="9">
        <v>29.6666666666666</v>
      </c>
      <c r="AA24" s="9">
        <v>36.592400690846198</v>
      </c>
      <c r="AB24" s="7">
        <v>4</v>
      </c>
      <c r="AC24" s="9">
        <v>23.4166667</v>
      </c>
      <c r="AD24" s="9">
        <v>24.04</v>
      </c>
      <c r="AE24" s="9">
        <v>31.142857100000001</v>
      </c>
      <c r="AF24" s="9">
        <v>25.4166667</v>
      </c>
      <c r="AG24" s="1" t="s">
        <v>74</v>
      </c>
      <c r="AH24" s="7">
        <v>32</v>
      </c>
      <c r="AI24" s="7">
        <v>31</v>
      </c>
      <c r="AJ24" s="8">
        <v>0.29930555555555555</v>
      </c>
      <c r="AK24" s="1"/>
      <c r="AL24" s="8">
        <v>0.25555555555555554</v>
      </c>
      <c r="AM24" s="1"/>
      <c r="AN24" s="9">
        <v>42.284482799999999</v>
      </c>
      <c r="AO24" s="9">
        <v>44.025948100000001</v>
      </c>
      <c r="AP24" s="7">
        <v>3</v>
      </c>
      <c r="AQ24" s="9">
        <v>26.4</v>
      </c>
      <c r="AR24" s="9">
        <v>26.636363599999999</v>
      </c>
      <c r="AS24" s="1" t="s">
        <v>74</v>
      </c>
      <c r="AT24" s="7">
        <v>17</v>
      </c>
      <c r="AU24" s="7">
        <v>18</v>
      </c>
      <c r="AV24" s="8">
        <v>0.30069444444444443</v>
      </c>
      <c r="AW24" s="1"/>
      <c r="AX24" s="8">
        <v>0.26458333333333334</v>
      </c>
      <c r="AY24" s="1"/>
      <c r="AZ24" s="9">
        <v>59.8476821</v>
      </c>
      <c r="BA24" s="9">
        <v>60</v>
      </c>
      <c r="BB24" s="7">
        <v>2</v>
      </c>
      <c r="BC24" s="9">
        <v>32</v>
      </c>
      <c r="BD24" s="9">
        <v>32</v>
      </c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 t="s">
        <v>69</v>
      </c>
      <c r="BV24" s="1"/>
      <c r="BW24" s="1"/>
      <c r="BX24" s="1" t="s">
        <v>69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 t="s">
        <v>69</v>
      </c>
      <c r="CU24" s="1"/>
      <c r="CV24" s="1"/>
    </row>
    <row r="25" spans="1:100" ht="15.75" customHeight="1" x14ac:dyDescent="0.25">
      <c r="A25" s="1">
        <v>86</v>
      </c>
      <c r="B25" s="1" t="s">
        <v>171</v>
      </c>
      <c r="C25" s="1" t="s">
        <v>163</v>
      </c>
      <c r="D25" s="1">
        <v>12.2685</v>
      </c>
      <c r="E25" s="1" t="s">
        <v>71</v>
      </c>
      <c r="F25" s="2">
        <v>76</v>
      </c>
      <c r="G25" s="2">
        <v>63</v>
      </c>
      <c r="H25" s="2">
        <v>11</v>
      </c>
      <c r="I25" s="2">
        <v>58</v>
      </c>
      <c r="J25" s="3">
        <v>54367</v>
      </c>
      <c r="K25" s="44">
        <v>0.2752</v>
      </c>
      <c r="L25" s="4">
        <v>0.246</v>
      </c>
      <c r="M25" s="5">
        <f>(29084-20545)/29094</f>
        <v>0.29349694095002404</v>
      </c>
      <c r="N25" s="6">
        <v>41850</v>
      </c>
      <c r="O25" s="1" t="s">
        <v>161</v>
      </c>
      <c r="P25" s="1">
        <v>977894</v>
      </c>
      <c r="Q25" s="1">
        <v>2937</v>
      </c>
      <c r="R25" s="7">
        <v>43</v>
      </c>
      <c r="S25" s="7">
        <v>43</v>
      </c>
      <c r="T25" s="8">
        <v>0.16111111111111112</v>
      </c>
      <c r="U25" s="1"/>
      <c r="V25" s="8">
        <v>0.1875</v>
      </c>
      <c r="W25" s="1"/>
      <c r="X25" s="9">
        <v>30</v>
      </c>
      <c r="Y25" s="9">
        <v>30.785562632696301</v>
      </c>
      <c r="Z25" s="9">
        <v>28.85</v>
      </c>
      <c r="AA25" s="9">
        <v>30.453072625698301</v>
      </c>
      <c r="AB25" s="7">
        <v>5</v>
      </c>
      <c r="AC25" s="9">
        <v>48</v>
      </c>
      <c r="AD25" s="9">
        <v>42.777777800000003</v>
      </c>
      <c r="AE25" s="9">
        <v>56</v>
      </c>
      <c r="AF25" s="9">
        <v>47.346153800000003</v>
      </c>
      <c r="AG25" s="1">
        <v>2522</v>
      </c>
      <c r="AH25" s="7">
        <v>45</v>
      </c>
      <c r="AI25" s="7">
        <v>45</v>
      </c>
      <c r="AJ25" s="8">
        <v>0.21597222222222223</v>
      </c>
      <c r="AK25" s="1"/>
      <c r="AL25" s="8">
        <v>0.23958333333333334</v>
      </c>
      <c r="AM25" s="1"/>
      <c r="AN25" s="9">
        <v>27.315384600000002</v>
      </c>
      <c r="AO25" s="9">
        <v>26.240625000000001</v>
      </c>
      <c r="AP25" s="7">
        <v>6</v>
      </c>
      <c r="AQ25" s="9">
        <v>41.6666667</v>
      </c>
      <c r="AR25" s="9">
        <v>46.928571400000003</v>
      </c>
      <c r="AS25" s="1">
        <v>1618</v>
      </c>
      <c r="AT25" s="7">
        <v>32</v>
      </c>
      <c r="AU25" s="7">
        <v>32</v>
      </c>
      <c r="AV25" s="8">
        <v>0.21527777777777779</v>
      </c>
      <c r="AW25" s="1"/>
      <c r="AX25" s="8">
        <v>0.23958333333333334</v>
      </c>
      <c r="AY25" s="1"/>
      <c r="AZ25" s="9">
        <v>37.048611100000002</v>
      </c>
      <c r="BA25" s="9">
        <v>38.571428599999997</v>
      </c>
      <c r="BB25" s="7">
        <v>3</v>
      </c>
      <c r="BC25" s="9">
        <v>39.909090900000002</v>
      </c>
      <c r="BD25" s="9">
        <v>44.3333333</v>
      </c>
      <c r="BE25" s="1"/>
      <c r="BF25" s="1"/>
      <c r="BG25" s="1"/>
      <c r="BH25" s="1"/>
      <c r="BI25" s="1"/>
      <c r="BJ25" s="1"/>
      <c r="BK25" s="1"/>
      <c r="BL25" s="1"/>
      <c r="BM25" s="1"/>
      <c r="BN25" s="1" t="s">
        <v>69</v>
      </c>
      <c r="BO25" s="1"/>
      <c r="BP25" s="1" t="s">
        <v>69</v>
      </c>
      <c r="BQ25" s="1" t="s">
        <v>69</v>
      </c>
      <c r="BR25" s="1" t="s">
        <v>69</v>
      </c>
      <c r="BS25" s="1" t="s">
        <v>69</v>
      </c>
      <c r="BT25" s="1"/>
      <c r="BU25" s="1"/>
      <c r="BV25" s="1"/>
      <c r="BW25" s="1"/>
      <c r="BX25" s="1" t="s">
        <v>69</v>
      </c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 t="s">
        <v>69</v>
      </c>
      <c r="CU25" s="1"/>
      <c r="CV25" s="1"/>
    </row>
    <row r="26" spans="1:100" ht="15.75" customHeight="1" x14ac:dyDescent="0.25">
      <c r="A26" s="1">
        <v>93</v>
      </c>
      <c r="B26" s="1" t="s">
        <v>172</v>
      </c>
      <c r="C26" s="1" t="s">
        <v>62</v>
      </c>
      <c r="D26" s="1">
        <v>14.414</v>
      </c>
      <c r="E26" s="1" t="s">
        <v>71</v>
      </c>
      <c r="F26" s="2">
        <v>29</v>
      </c>
      <c r="G26" s="2">
        <v>28</v>
      </c>
      <c r="H26" s="2">
        <v>99</v>
      </c>
      <c r="I26" s="2">
        <v>52</v>
      </c>
      <c r="J26" s="3">
        <v>67894</v>
      </c>
      <c r="K26" s="44">
        <v>0.2321</v>
      </c>
      <c r="L26" s="4">
        <v>0.18329999999999999</v>
      </c>
      <c r="M26" s="5">
        <f>(29150-23428)/29150</f>
        <v>0.19629502572898799</v>
      </c>
      <c r="N26" s="6">
        <v>40862</v>
      </c>
      <c r="O26" s="1" t="s">
        <v>64</v>
      </c>
      <c r="P26" s="1">
        <v>518487</v>
      </c>
      <c r="Q26" s="1">
        <v>2010</v>
      </c>
      <c r="R26" s="7">
        <v>33</v>
      </c>
      <c r="S26" s="7">
        <v>33</v>
      </c>
      <c r="T26" s="8">
        <v>0.26805555555555555</v>
      </c>
      <c r="U26" s="1"/>
      <c r="V26" s="8">
        <v>0.21597222222222223</v>
      </c>
      <c r="W26" s="1"/>
      <c r="X26" s="9">
        <v>30.099593495934901</v>
      </c>
      <c r="Y26" s="9">
        <v>30.024390243902399</v>
      </c>
      <c r="Z26" s="9">
        <v>29.864705882352901</v>
      </c>
      <c r="AA26" s="9">
        <v>30.169852941176401</v>
      </c>
      <c r="AB26" s="7">
        <v>5</v>
      </c>
      <c r="AC26" s="9">
        <v>56.285714300000002</v>
      </c>
      <c r="AD26" s="9">
        <v>50.578947399999997</v>
      </c>
      <c r="AE26" s="9">
        <v>57.214285699999998</v>
      </c>
      <c r="AF26" s="9">
        <v>53.736842099999997</v>
      </c>
      <c r="AG26" s="1" t="s">
        <v>68</v>
      </c>
      <c r="AH26" s="7">
        <v>0</v>
      </c>
      <c r="AI26" s="7">
        <v>0</v>
      </c>
      <c r="AJ26" s="11" t="s">
        <v>67</v>
      </c>
      <c r="AK26" s="1" t="s">
        <v>68</v>
      </c>
      <c r="AL26" s="11" t="s">
        <v>67</v>
      </c>
      <c r="AM26" s="1" t="s">
        <v>68</v>
      </c>
      <c r="AN26" s="10" t="s">
        <v>67</v>
      </c>
      <c r="AO26" s="10" t="s">
        <v>67</v>
      </c>
      <c r="AP26" s="11" t="s">
        <v>67</v>
      </c>
      <c r="AQ26" s="10" t="s">
        <v>67</v>
      </c>
      <c r="AR26" s="10" t="s">
        <v>67</v>
      </c>
      <c r="AS26" s="1" t="s">
        <v>68</v>
      </c>
      <c r="AT26" s="7">
        <v>0</v>
      </c>
      <c r="AU26" s="7">
        <v>0</v>
      </c>
      <c r="AV26" s="11" t="s">
        <v>67</v>
      </c>
      <c r="AW26" s="1" t="s">
        <v>68</v>
      </c>
      <c r="AX26" s="11" t="s">
        <v>67</v>
      </c>
      <c r="AY26" s="1" t="s">
        <v>68</v>
      </c>
      <c r="AZ26" s="10" t="s">
        <v>67</v>
      </c>
      <c r="BA26" s="10" t="s">
        <v>67</v>
      </c>
      <c r="BB26" s="11" t="s">
        <v>67</v>
      </c>
      <c r="BC26" s="10" t="s">
        <v>67</v>
      </c>
      <c r="BD26" s="10" t="s">
        <v>67</v>
      </c>
      <c r="BE26" s="1"/>
      <c r="BF26" s="1"/>
      <c r="BG26" s="1"/>
      <c r="BH26" s="1"/>
      <c r="BI26" s="1"/>
      <c r="BJ26" s="1" t="s">
        <v>69</v>
      </c>
      <c r="BK26" s="1" t="s">
        <v>69</v>
      </c>
      <c r="BL26" s="1" t="s">
        <v>69</v>
      </c>
      <c r="BM26" s="1"/>
      <c r="BN26" s="1"/>
      <c r="BO26" s="1"/>
      <c r="BP26" s="1"/>
      <c r="BQ26" s="1"/>
      <c r="BR26" s="1"/>
      <c r="BS26" s="1" t="s">
        <v>69</v>
      </c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ht="15.75" customHeight="1" x14ac:dyDescent="0.25">
      <c r="A27" s="1" t="s">
        <v>92</v>
      </c>
      <c r="B27" s="1" t="s">
        <v>173</v>
      </c>
      <c r="C27" s="1" t="s">
        <v>107</v>
      </c>
      <c r="D27" s="1">
        <v>9.7272999999999996</v>
      </c>
      <c r="E27" s="1" t="s">
        <v>174</v>
      </c>
      <c r="F27" s="2">
        <v>8</v>
      </c>
      <c r="G27" s="2">
        <v>11</v>
      </c>
      <c r="H27" s="2">
        <v>4</v>
      </c>
      <c r="I27" s="2">
        <v>10</v>
      </c>
      <c r="J27" s="3">
        <v>37059</v>
      </c>
      <c r="K27" s="44">
        <v>0.24460000000000001</v>
      </c>
      <c r="L27" s="4">
        <v>0.25040000000000001</v>
      </c>
      <c r="M27" s="5">
        <f>(19907-14601)/19907</f>
        <v>0.26653940824835487</v>
      </c>
      <c r="N27" s="6">
        <v>45839</v>
      </c>
      <c r="O27" s="1" t="s">
        <v>161</v>
      </c>
      <c r="P27" s="1">
        <v>3135594</v>
      </c>
      <c r="Q27" s="1">
        <v>10448</v>
      </c>
      <c r="R27" s="7">
        <v>135</v>
      </c>
      <c r="S27" s="7">
        <v>125</v>
      </c>
      <c r="T27" s="8">
        <v>0.1986111111111111</v>
      </c>
      <c r="U27" s="1"/>
      <c r="V27" s="8">
        <v>0.21388888888888888</v>
      </c>
      <c r="W27" s="1"/>
      <c r="X27" s="9">
        <v>7.2</v>
      </c>
      <c r="Y27" s="9">
        <v>11.314720812182699</v>
      </c>
      <c r="Z27" s="9">
        <v>4.6216666666666599</v>
      </c>
      <c r="AA27" s="9">
        <v>12.565113500597301</v>
      </c>
      <c r="AB27" s="7">
        <v>21</v>
      </c>
      <c r="AC27" s="9">
        <v>20.90625</v>
      </c>
      <c r="AD27" s="9">
        <v>21.071428600000001</v>
      </c>
      <c r="AE27" s="9">
        <v>27.390625</v>
      </c>
      <c r="AF27" s="9">
        <v>25.067796600000001</v>
      </c>
      <c r="AG27" s="1">
        <v>4885</v>
      </c>
      <c r="AH27" s="7">
        <v>58</v>
      </c>
      <c r="AI27" s="7">
        <v>58</v>
      </c>
      <c r="AJ27" s="8">
        <v>0.23819444444444443</v>
      </c>
      <c r="AK27" s="1"/>
      <c r="AL27" s="8">
        <v>0.25208333333333333</v>
      </c>
      <c r="AM27" s="1"/>
      <c r="AN27" s="9">
        <v>18.037037000000002</v>
      </c>
      <c r="AO27" s="9">
        <v>17.631578900000001</v>
      </c>
      <c r="AP27" s="7">
        <v>4</v>
      </c>
      <c r="AQ27" s="9">
        <v>20.9</v>
      </c>
      <c r="AR27" s="9">
        <v>23.285714299999999</v>
      </c>
      <c r="AS27" s="1">
        <v>3380</v>
      </c>
      <c r="AT27" s="7">
        <v>45</v>
      </c>
      <c r="AU27" s="7">
        <v>45</v>
      </c>
      <c r="AV27" s="8">
        <v>0.23819444444444443</v>
      </c>
      <c r="AW27" s="1"/>
      <c r="AX27" s="8">
        <v>0.25208333333333333</v>
      </c>
      <c r="AY27" s="1"/>
      <c r="AZ27" s="9">
        <v>23.897435900000001</v>
      </c>
      <c r="BA27" s="9">
        <v>23.571428600000001</v>
      </c>
      <c r="BB27" s="7">
        <v>4</v>
      </c>
      <c r="BC27" s="9">
        <v>19.8666667</v>
      </c>
      <c r="BD27" s="9">
        <v>23.125</v>
      </c>
      <c r="BE27" s="1"/>
      <c r="BF27" s="1"/>
      <c r="BG27" s="1"/>
      <c r="BH27" s="1"/>
      <c r="BI27" s="1"/>
      <c r="BJ27" s="1"/>
      <c r="BK27" s="1"/>
      <c r="BL27" s="1"/>
      <c r="BM27" s="1"/>
      <c r="BN27" s="1" t="s">
        <v>69</v>
      </c>
      <c r="BO27" s="1"/>
      <c r="BP27" s="1" t="s">
        <v>69</v>
      </c>
      <c r="BQ27" s="1" t="s">
        <v>69</v>
      </c>
      <c r="BR27" s="1" t="s">
        <v>69</v>
      </c>
      <c r="BS27" s="1" t="s">
        <v>69</v>
      </c>
      <c r="BT27" s="1"/>
      <c r="BU27" s="1"/>
      <c r="BV27" s="1"/>
      <c r="BW27" s="1"/>
      <c r="BX27" s="1" t="s">
        <v>69</v>
      </c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 t="s">
        <v>69</v>
      </c>
      <c r="CU27" s="1"/>
      <c r="CV27" s="1"/>
    </row>
    <row r="28" spans="1:100" ht="15.75" customHeight="1" x14ac:dyDescent="0.25">
      <c r="A28" s="1" t="s">
        <v>175</v>
      </c>
      <c r="B28" s="1" t="s">
        <v>176</v>
      </c>
      <c r="C28" s="1" t="s">
        <v>107</v>
      </c>
      <c r="D28" s="1">
        <v>42.136299999999999</v>
      </c>
      <c r="E28" s="1" t="s">
        <v>63</v>
      </c>
      <c r="F28" s="2">
        <v>39</v>
      </c>
      <c r="G28" s="2">
        <v>37</v>
      </c>
      <c r="H28" s="2">
        <v>26</v>
      </c>
      <c r="I28" s="2">
        <v>47</v>
      </c>
      <c r="J28" s="3">
        <v>44384</v>
      </c>
      <c r="K28" s="44">
        <v>0.22900000000000001</v>
      </c>
      <c r="L28" s="4">
        <v>0.2281</v>
      </c>
      <c r="M28" s="5">
        <f>(23370-17147)/23370</f>
        <v>0.26628155755241761</v>
      </c>
      <c r="N28" s="6">
        <v>45412</v>
      </c>
      <c r="O28" s="1" t="s">
        <v>161</v>
      </c>
      <c r="P28" s="1">
        <v>317125</v>
      </c>
      <c r="Q28" s="1">
        <v>1229</v>
      </c>
      <c r="R28" s="7">
        <v>18</v>
      </c>
      <c r="S28" s="7">
        <v>20</v>
      </c>
      <c r="T28" s="8">
        <v>0.20972222222222223</v>
      </c>
      <c r="U28" s="1"/>
      <c r="V28" s="8">
        <v>0.26041666666666669</v>
      </c>
      <c r="W28" s="1"/>
      <c r="X28" s="9">
        <v>9.7323529411764707</v>
      </c>
      <c r="Y28" s="9">
        <v>18.931818181818102</v>
      </c>
      <c r="Z28" s="9">
        <v>12.5255102040816</v>
      </c>
      <c r="AA28" s="9" t="s">
        <v>67</v>
      </c>
      <c r="AB28" s="7">
        <v>11</v>
      </c>
      <c r="AC28" s="9">
        <v>55</v>
      </c>
      <c r="AD28" s="9">
        <v>58.8</v>
      </c>
      <c r="AE28" s="9">
        <v>62.470588200000002</v>
      </c>
      <c r="AF28" s="9">
        <v>54.6666667</v>
      </c>
      <c r="AG28" s="1" t="s">
        <v>68</v>
      </c>
      <c r="AH28" s="7">
        <v>0</v>
      </c>
      <c r="AI28" s="7">
        <v>0</v>
      </c>
      <c r="AJ28" s="11" t="s">
        <v>67</v>
      </c>
      <c r="AK28" s="1" t="s">
        <v>68</v>
      </c>
      <c r="AL28" s="11" t="s">
        <v>67</v>
      </c>
      <c r="AM28" s="1" t="s">
        <v>68</v>
      </c>
      <c r="AN28" s="10" t="s">
        <v>67</v>
      </c>
      <c r="AO28" s="10" t="s">
        <v>67</v>
      </c>
      <c r="AP28" s="11" t="s">
        <v>67</v>
      </c>
      <c r="AQ28" s="10" t="s">
        <v>67</v>
      </c>
      <c r="AR28" s="10" t="s">
        <v>67</v>
      </c>
      <c r="AS28" s="1" t="s">
        <v>68</v>
      </c>
      <c r="AT28" s="7">
        <v>0</v>
      </c>
      <c r="AU28" s="7">
        <v>0</v>
      </c>
      <c r="AV28" s="11" t="s">
        <v>67</v>
      </c>
      <c r="AW28" s="1" t="s">
        <v>68</v>
      </c>
      <c r="AX28" s="11" t="s">
        <v>67</v>
      </c>
      <c r="AY28" s="1" t="s">
        <v>68</v>
      </c>
      <c r="AZ28" s="10" t="s">
        <v>67</v>
      </c>
      <c r="BA28" s="10" t="s">
        <v>67</v>
      </c>
      <c r="BB28" s="11" t="s">
        <v>67</v>
      </c>
      <c r="BC28" s="10" t="s">
        <v>67</v>
      </c>
      <c r="BD28" s="10" t="s">
        <v>67</v>
      </c>
      <c r="BE28" s="1"/>
      <c r="BF28" s="1"/>
      <c r="BG28" s="1"/>
      <c r="BH28" s="1"/>
      <c r="BI28" s="1"/>
      <c r="BJ28" s="1"/>
      <c r="BK28" s="1"/>
      <c r="BL28" s="1"/>
      <c r="BM28" s="1"/>
      <c r="BN28" s="1" t="s">
        <v>69</v>
      </c>
      <c r="BO28" s="1"/>
      <c r="BP28" s="1" t="s">
        <v>69</v>
      </c>
      <c r="BQ28" s="1" t="s">
        <v>69</v>
      </c>
      <c r="BR28" s="1" t="s">
        <v>69</v>
      </c>
      <c r="BS28" s="1" t="s">
        <v>69</v>
      </c>
      <c r="BT28" s="1"/>
      <c r="BU28" s="1"/>
      <c r="BV28" s="1" t="s">
        <v>69</v>
      </c>
      <c r="BW28" s="1" t="s">
        <v>69</v>
      </c>
      <c r="BX28" s="1" t="s">
        <v>69</v>
      </c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 t="s">
        <v>69</v>
      </c>
      <c r="CU28" s="1"/>
      <c r="CV28" s="1"/>
    </row>
    <row r="29" spans="1:100" ht="15.75" customHeight="1" x14ac:dyDescent="0.25">
      <c r="A29" s="1" t="s">
        <v>95</v>
      </c>
      <c r="B29" s="1" t="s">
        <v>177</v>
      </c>
      <c r="C29" s="1" t="s">
        <v>163</v>
      </c>
      <c r="D29" s="1">
        <v>40.507300000000001</v>
      </c>
      <c r="E29" s="1" t="s">
        <v>63</v>
      </c>
      <c r="F29" s="2">
        <v>62</v>
      </c>
      <c r="G29" s="2">
        <v>65</v>
      </c>
      <c r="H29" s="2">
        <v>32</v>
      </c>
      <c r="I29" s="2">
        <v>33</v>
      </c>
      <c r="J29" s="3">
        <v>49085</v>
      </c>
      <c r="K29" s="44">
        <v>0.22869999999999999</v>
      </c>
      <c r="L29" s="4">
        <v>0.1956</v>
      </c>
      <c r="M29" s="5">
        <f>(25593-19514)/25593</f>
        <v>0.23752588598444888</v>
      </c>
      <c r="N29" s="6">
        <v>49198</v>
      </c>
      <c r="O29" s="1" t="s">
        <v>161</v>
      </c>
      <c r="P29" s="1">
        <v>235077</v>
      </c>
      <c r="Q29" s="1">
        <v>911</v>
      </c>
      <c r="R29" s="7">
        <v>14</v>
      </c>
      <c r="S29" s="7">
        <v>14</v>
      </c>
      <c r="T29" s="8">
        <v>0.20416666666666666</v>
      </c>
      <c r="U29" s="1"/>
      <c r="V29" s="8">
        <v>0.63194444444444442</v>
      </c>
      <c r="W29" s="1"/>
      <c r="X29" s="9">
        <v>17.871345029239698</v>
      </c>
      <c r="Y29" s="9">
        <v>19.524456521739101</v>
      </c>
      <c r="Z29" s="9">
        <v>20.909090909090899</v>
      </c>
      <c r="AA29" s="9" t="s">
        <v>67</v>
      </c>
      <c r="AB29" s="7">
        <v>9</v>
      </c>
      <c r="AC29" s="9">
        <v>67</v>
      </c>
      <c r="AD29" s="9">
        <v>69.857142899999999</v>
      </c>
      <c r="AE29" s="9">
        <v>67.714285700000005</v>
      </c>
      <c r="AF29" s="10" t="s">
        <v>67</v>
      </c>
      <c r="AG29" s="1" t="s">
        <v>68</v>
      </c>
      <c r="AH29" s="7">
        <v>0</v>
      </c>
      <c r="AI29" s="7">
        <v>0</v>
      </c>
      <c r="AJ29" s="11" t="s">
        <v>67</v>
      </c>
      <c r="AK29" s="1" t="s">
        <v>68</v>
      </c>
      <c r="AL29" s="11" t="s">
        <v>67</v>
      </c>
      <c r="AM29" s="1" t="s">
        <v>68</v>
      </c>
      <c r="AN29" s="10" t="s">
        <v>67</v>
      </c>
      <c r="AO29" s="10" t="s">
        <v>67</v>
      </c>
      <c r="AP29" s="11" t="s">
        <v>67</v>
      </c>
      <c r="AQ29" s="10" t="s">
        <v>67</v>
      </c>
      <c r="AR29" s="10" t="s">
        <v>67</v>
      </c>
      <c r="AS29" s="1" t="s">
        <v>68</v>
      </c>
      <c r="AT29" s="7">
        <v>0</v>
      </c>
      <c r="AU29" s="7">
        <v>0</v>
      </c>
      <c r="AV29" s="11" t="s">
        <v>67</v>
      </c>
      <c r="AW29" s="1" t="s">
        <v>68</v>
      </c>
      <c r="AX29" s="11" t="s">
        <v>67</v>
      </c>
      <c r="AY29" s="1" t="s">
        <v>68</v>
      </c>
      <c r="AZ29" s="10" t="s">
        <v>67</v>
      </c>
      <c r="BA29" s="10" t="s">
        <v>67</v>
      </c>
      <c r="BB29" s="11" t="s">
        <v>67</v>
      </c>
      <c r="BC29" s="10" t="s">
        <v>67</v>
      </c>
      <c r="BD29" s="10" t="s">
        <v>67</v>
      </c>
      <c r="BE29" s="1"/>
      <c r="BF29" s="1"/>
      <c r="BG29" s="1"/>
      <c r="BH29" s="1"/>
      <c r="BI29" s="1"/>
      <c r="BJ29" s="1"/>
      <c r="BK29" s="1"/>
      <c r="BL29" s="1"/>
      <c r="BM29" s="1"/>
      <c r="BN29" s="1" t="s">
        <v>69</v>
      </c>
      <c r="BO29" s="1"/>
      <c r="BP29" s="1" t="s">
        <v>69</v>
      </c>
      <c r="BQ29" s="1" t="s">
        <v>69</v>
      </c>
      <c r="BR29" s="1" t="s">
        <v>69</v>
      </c>
      <c r="BS29" s="1" t="s">
        <v>69</v>
      </c>
      <c r="BT29" s="1"/>
      <c r="BU29" s="1" t="s">
        <v>69</v>
      </c>
      <c r="BV29" s="1" t="s">
        <v>69</v>
      </c>
      <c r="BW29" s="1"/>
      <c r="BX29" s="1" t="s">
        <v>69</v>
      </c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 t="s">
        <v>69</v>
      </c>
      <c r="CU29" s="1"/>
      <c r="CV29" s="1"/>
    </row>
    <row r="30" spans="1:100" ht="15.75" customHeight="1" x14ac:dyDescent="0.25">
      <c r="A30" s="1" t="s">
        <v>178</v>
      </c>
      <c r="B30" s="1" t="s">
        <v>179</v>
      </c>
      <c r="C30" s="1" t="s">
        <v>163</v>
      </c>
      <c r="D30" s="1">
        <v>13.690200000000001</v>
      </c>
      <c r="E30" s="1" t="s">
        <v>63</v>
      </c>
      <c r="F30" s="2">
        <v>40</v>
      </c>
      <c r="G30" s="2">
        <v>29</v>
      </c>
      <c r="H30" s="2">
        <v>30</v>
      </c>
      <c r="I30" s="2">
        <v>27</v>
      </c>
      <c r="J30" s="3">
        <v>35687</v>
      </c>
      <c r="K30" s="44">
        <v>0.30359999999999998</v>
      </c>
      <c r="L30" s="4">
        <v>0.2475</v>
      </c>
      <c r="M30" s="5">
        <f>(18341-13183)/18341</f>
        <v>0.28122785017174634</v>
      </c>
      <c r="N30" s="6">
        <v>45469</v>
      </c>
      <c r="O30" s="1" t="s">
        <v>161</v>
      </c>
      <c r="P30" s="1">
        <v>100520</v>
      </c>
      <c r="Q30" s="1">
        <v>390</v>
      </c>
      <c r="R30" s="7">
        <v>7</v>
      </c>
      <c r="S30" s="7">
        <v>7</v>
      </c>
      <c r="T30" s="8">
        <v>0.22777777777777777</v>
      </c>
      <c r="U30" s="1"/>
      <c r="V30" s="8">
        <v>0.62847222222222221</v>
      </c>
      <c r="W30" s="1"/>
      <c r="X30" s="9">
        <v>29.569506726457298</v>
      </c>
      <c r="Y30" s="9">
        <v>29.087248322147602</v>
      </c>
      <c r="Z30" s="9">
        <v>29.8682926829268</v>
      </c>
      <c r="AA30" s="9" t="s">
        <v>67</v>
      </c>
      <c r="AB30" s="7">
        <v>2</v>
      </c>
      <c r="AC30" s="9">
        <v>51.5</v>
      </c>
      <c r="AD30" s="9">
        <v>51.6666667</v>
      </c>
      <c r="AE30" s="9">
        <v>35.3333333</v>
      </c>
      <c r="AF30" s="9">
        <v>36</v>
      </c>
      <c r="AG30" s="1" t="s">
        <v>68</v>
      </c>
      <c r="AH30" s="7">
        <v>0</v>
      </c>
      <c r="AI30" s="7">
        <v>0</v>
      </c>
      <c r="AJ30" s="11" t="s">
        <v>67</v>
      </c>
      <c r="AK30" s="1" t="s">
        <v>68</v>
      </c>
      <c r="AL30" s="11" t="s">
        <v>67</v>
      </c>
      <c r="AM30" s="1" t="s">
        <v>68</v>
      </c>
      <c r="AN30" s="10" t="s">
        <v>67</v>
      </c>
      <c r="AO30" s="10" t="s">
        <v>67</v>
      </c>
      <c r="AP30" s="11" t="s">
        <v>67</v>
      </c>
      <c r="AQ30" s="10" t="s">
        <v>67</v>
      </c>
      <c r="AR30" s="10" t="s">
        <v>67</v>
      </c>
      <c r="AS30" s="1" t="s">
        <v>68</v>
      </c>
      <c r="AT30" s="7">
        <v>0</v>
      </c>
      <c r="AU30" s="7">
        <v>0</v>
      </c>
      <c r="AV30" s="11" t="s">
        <v>67</v>
      </c>
      <c r="AW30" s="1" t="s">
        <v>68</v>
      </c>
      <c r="AX30" s="11" t="s">
        <v>67</v>
      </c>
      <c r="AY30" s="1" t="s">
        <v>68</v>
      </c>
      <c r="AZ30" s="10" t="s">
        <v>67</v>
      </c>
      <c r="BA30" s="10" t="s">
        <v>67</v>
      </c>
      <c r="BB30" s="11" t="s">
        <v>67</v>
      </c>
      <c r="BC30" s="10" t="s">
        <v>67</v>
      </c>
      <c r="BD30" s="10" t="s">
        <v>67</v>
      </c>
      <c r="BE30" s="1"/>
      <c r="BF30" s="1"/>
      <c r="BG30" s="1"/>
      <c r="BH30" s="1"/>
      <c r="BI30" s="1"/>
      <c r="BJ30" s="1"/>
      <c r="BK30" s="1"/>
      <c r="BL30" s="1"/>
      <c r="BM30" s="1"/>
      <c r="BN30" s="1" t="s">
        <v>69</v>
      </c>
      <c r="BO30" s="1"/>
      <c r="BP30" s="1" t="s">
        <v>69</v>
      </c>
      <c r="BQ30" s="1" t="s">
        <v>69</v>
      </c>
      <c r="BR30" s="1" t="s">
        <v>69</v>
      </c>
      <c r="BS30" s="1" t="s">
        <v>69</v>
      </c>
      <c r="BT30" s="1"/>
      <c r="BU30" s="1" t="s">
        <v>69</v>
      </c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 t="s">
        <v>69</v>
      </c>
      <c r="CU30" s="1"/>
      <c r="CV30" s="1"/>
    </row>
    <row r="31" spans="1:100" ht="15.75" customHeight="1" x14ac:dyDescent="0.25">
      <c r="A31" s="1" t="s">
        <v>93</v>
      </c>
      <c r="B31" s="1" t="s">
        <v>180</v>
      </c>
      <c r="C31" s="1" t="s">
        <v>163</v>
      </c>
      <c r="D31" s="1">
        <v>14.2745</v>
      </c>
      <c r="E31" s="1" t="s">
        <v>174</v>
      </c>
      <c r="F31" s="2">
        <v>6</v>
      </c>
      <c r="G31" s="2">
        <v>9</v>
      </c>
      <c r="H31" s="2">
        <v>5</v>
      </c>
      <c r="I31" s="2">
        <v>9</v>
      </c>
      <c r="J31" s="3">
        <v>31343</v>
      </c>
      <c r="K31" s="44">
        <v>0.24</v>
      </c>
      <c r="L31" s="4">
        <v>0.24890000000000001</v>
      </c>
      <c r="M31" s="5">
        <f>(17152-12489)/17152</f>
        <v>0.27186333955223879</v>
      </c>
      <c r="N31" s="6">
        <v>45976</v>
      </c>
      <c r="O31" s="1" t="s">
        <v>161</v>
      </c>
      <c r="P31" s="1">
        <v>399339</v>
      </c>
      <c r="Q31" s="1">
        <v>1548</v>
      </c>
      <c r="R31" s="7">
        <v>23</v>
      </c>
      <c r="S31" s="7">
        <v>19</v>
      </c>
      <c r="T31" s="8">
        <v>0.27430555555555558</v>
      </c>
      <c r="U31" s="1"/>
      <c r="V31" s="8">
        <v>0.27500000000000002</v>
      </c>
      <c r="W31" s="1"/>
      <c r="X31" s="9">
        <v>7.4761904761904701</v>
      </c>
      <c r="Y31" s="9" t="s">
        <v>67</v>
      </c>
      <c r="Z31" s="9" t="s">
        <v>67</v>
      </c>
      <c r="AA31" s="9" t="s">
        <v>67</v>
      </c>
      <c r="AB31" s="7">
        <v>7</v>
      </c>
      <c r="AC31" s="9">
        <v>20</v>
      </c>
      <c r="AD31" s="9">
        <v>20</v>
      </c>
      <c r="AE31" s="9">
        <v>22</v>
      </c>
      <c r="AF31" s="9">
        <v>22</v>
      </c>
      <c r="AG31" s="1" t="s">
        <v>68</v>
      </c>
      <c r="AH31" s="7">
        <v>0</v>
      </c>
      <c r="AI31" s="7">
        <v>0</v>
      </c>
      <c r="AJ31" s="11" t="s">
        <v>67</v>
      </c>
      <c r="AK31" s="1" t="s">
        <v>68</v>
      </c>
      <c r="AL31" s="11" t="s">
        <v>67</v>
      </c>
      <c r="AM31" s="1" t="s">
        <v>68</v>
      </c>
      <c r="AN31" s="10" t="s">
        <v>67</v>
      </c>
      <c r="AO31" s="10" t="s">
        <v>67</v>
      </c>
      <c r="AP31" s="11" t="s">
        <v>67</v>
      </c>
      <c r="AQ31" s="10" t="s">
        <v>67</v>
      </c>
      <c r="AR31" s="10" t="s">
        <v>67</v>
      </c>
      <c r="AS31" s="1" t="s">
        <v>68</v>
      </c>
      <c r="AT31" s="7">
        <v>0</v>
      </c>
      <c r="AU31" s="7">
        <v>0</v>
      </c>
      <c r="AV31" s="11" t="s">
        <v>67</v>
      </c>
      <c r="AW31" s="1" t="s">
        <v>68</v>
      </c>
      <c r="AX31" s="11" t="s">
        <v>67</v>
      </c>
      <c r="AY31" s="1" t="s">
        <v>68</v>
      </c>
      <c r="AZ31" s="10" t="s">
        <v>67</v>
      </c>
      <c r="BA31" s="10" t="s">
        <v>67</v>
      </c>
      <c r="BB31" s="11" t="s">
        <v>67</v>
      </c>
      <c r="BC31" s="10" t="s">
        <v>67</v>
      </c>
      <c r="BD31" s="10" t="s">
        <v>67</v>
      </c>
      <c r="BE31" s="1"/>
      <c r="BF31" s="1"/>
      <c r="BG31" s="1"/>
      <c r="BH31" s="1"/>
      <c r="BI31" s="1"/>
      <c r="BJ31" s="1"/>
      <c r="BK31" s="1"/>
      <c r="BL31" s="1"/>
      <c r="BM31" s="1"/>
      <c r="BN31" s="1" t="s">
        <v>69</v>
      </c>
      <c r="BO31" s="1"/>
      <c r="BP31" s="1" t="s">
        <v>69</v>
      </c>
      <c r="BQ31" s="1" t="s">
        <v>69</v>
      </c>
      <c r="BR31" s="1" t="s">
        <v>69</v>
      </c>
      <c r="BS31" s="1" t="s">
        <v>69</v>
      </c>
      <c r="BT31" s="1"/>
      <c r="BU31" s="1"/>
      <c r="BV31" s="1"/>
      <c r="BW31" s="1"/>
      <c r="BX31" s="1" t="s">
        <v>69</v>
      </c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 t="s">
        <v>69</v>
      </c>
      <c r="CU31" s="1"/>
      <c r="CV31" s="1"/>
    </row>
    <row r="32" spans="1:100" ht="15.75" customHeight="1" x14ac:dyDescent="0.25">
      <c r="A32" s="1" t="s">
        <v>94</v>
      </c>
      <c r="B32" s="1" t="s">
        <v>181</v>
      </c>
      <c r="C32" s="1" t="s">
        <v>107</v>
      </c>
      <c r="D32" s="1">
        <v>8.3500999999999994</v>
      </c>
      <c r="E32" s="1" t="s">
        <v>63</v>
      </c>
      <c r="F32" s="2">
        <v>11</v>
      </c>
      <c r="G32" s="2">
        <v>11</v>
      </c>
      <c r="H32" s="2">
        <v>17</v>
      </c>
      <c r="I32" s="2">
        <v>19</v>
      </c>
      <c r="J32" s="3">
        <v>56361</v>
      </c>
      <c r="K32" s="44">
        <v>0.26790000000000003</v>
      </c>
      <c r="L32" s="4">
        <v>0.24970000000000001</v>
      </c>
      <c r="M32" s="5">
        <f>(25606-19328)/25606</f>
        <v>0.24517691166132938</v>
      </c>
      <c r="N32" s="6">
        <v>36597</v>
      </c>
      <c r="O32" s="1" t="s">
        <v>64</v>
      </c>
      <c r="P32" s="1">
        <v>727818</v>
      </c>
      <c r="Q32" s="1">
        <v>2821</v>
      </c>
      <c r="R32" s="7">
        <v>55</v>
      </c>
      <c r="S32" s="7">
        <v>58</v>
      </c>
      <c r="T32" s="8">
        <v>0.22847222222222222</v>
      </c>
      <c r="U32" s="1"/>
      <c r="V32" s="8">
        <v>0.25</v>
      </c>
      <c r="W32" s="1"/>
      <c r="X32" s="9">
        <v>9.8546365914786893</v>
      </c>
      <c r="Y32" s="9">
        <v>23.466666666666601</v>
      </c>
      <c r="Z32" s="9">
        <v>8.8976034858387791</v>
      </c>
      <c r="AA32" s="9">
        <v>26.243119266055</v>
      </c>
      <c r="AB32" s="7">
        <v>9</v>
      </c>
      <c r="AC32" s="9">
        <v>29.46875</v>
      </c>
      <c r="AD32" s="9">
        <v>27</v>
      </c>
      <c r="AE32" s="9">
        <v>28.111111099999999</v>
      </c>
      <c r="AF32" s="9">
        <v>26.136363599999999</v>
      </c>
      <c r="AG32" s="1" t="s">
        <v>68</v>
      </c>
      <c r="AH32" s="7">
        <v>0</v>
      </c>
      <c r="AI32" s="7">
        <v>0</v>
      </c>
      <c r="AJ32" s="11" t="s">
        <v>67</v>
      </c>
      <c r="AK32" s="1" t="s">
        <v>68</v>
      </c>
      <c r="AL32" s="11" t="s">
        <v>67</v>
      </c>
      <c r="AM32" s="1" t="s">
        <v>68</v>
      </c>
      <c r="AN32" s="10" t="s">
        <v>67</v>
      </c>
      <c r="AO32" s="10" t="s">
        <v>67</v>
      </c>
      <c r="AP32" s="11" t="s">
        <v>67</v>
      </c>
      <c r="AQ32" s="10" t="s">
        <v>67</v>
      </c>
      <c r="AR32" s="10" t="s">
        <v>67</v>
      </c>
      <c r="AS32" s="1" t="s">
        <v>68</v>
      </c>
      <c r="AT32" s="7">
        <v>0</v>
      </c>
      <c r="AU32" s="7">
        <v>0</v>
      </c>
      <c r="AV32" s="11" t="s">
        <v>67</v>
      </c>
      <c r="AW32" s="1" t="s">
        <v>68</v>
      </c>
      <c r="AX32" s="11" t="s">
        <v>67</v>
      </c>
      <c r="AY32" s="1" t="s">
        <v>68</v>
      </c>
      <c r="AZ32" s="10" t="s">
        <v>67</v>
      </c>
      <c r="BA32" s="10" t="s">
        <v>67</v>
      </c>
      <c r="BB32" s="11" t="s">
        <v>67</v>
      </c>
      <c r="BC32" s="10" t="s">
        <v>67</v>
      </c>
      <c r="BD32" s="10" t="s">
        <v>67</v>
      </c>
      <c r="BE32" s="1"/>
      <c r="BF32" s="1"/>
      <c r="BG32" s="1"/>
      <c r="BH32" s="1"/>
      <c r="BI32" s="1"/>
      <c r="BJ32" s="1"/>
      <c r="BK32" s="1"/>
      <c r="BL32" s="1" t="s">
        <v>69</v>
      </c>
      <c r="BM32" s="1"/>
      <c r="BN32" s="1" t="s">
        <v>69</v>
      </c>
      <c r="BO32" s="1"/>
      <c r="BP32" s="1"/>
      <c r="BQ32" s="1" t="s">
        <v>69</v>
      </c>
      <c r="BR32" s="1"/>
      <c r="BS32" s="1" t="s">
        <v>69</v>
      </c>
      <c r="BT32" s="1"/>
      <c r="BU32" s="1"/>
      <c r="BV32" s="1"/>
      <c r="BW32" s="1"/>
      <c r="BX32" s="1" t="s">
        <v>69</v>
      </c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 t="s">
        <v>69</v>
      </c>
      <c r="CU32" s="1"/>
      <c r="CV32" s="1"/>
    </row>
    <row r="33" spans="1:100" ht="15.75" customHeight="1" x14ac:dyDescent="0.25">
      <c r="A33" s="1" t="s">
        <v>82</v>
      </c>
      <c r="B33" s="1" t="s">
        <v>182</v>
      </c>
      <c r="C33" s="1" t="s">
        <v>163</v>
      </c>
      <c r="D33" s="1">
        <v>21.736899999999999</v>
      </c>
      <c r="E33" s="1" t="s">
        <v>63</v>
      </c>
      <c r="F33" s="2">
        <v>27</v>
      </c>
      <c r="G33" s="2">
        <v>23</v>
      </c>
      <c r="H33" s="2">
        <v>21</v>
      </c>
      <c r="I33" s="2">
        <v>37</v>
      </c>
      <c r="J33" s="3">
        <v>42847</v>
      </c>
      <c r="K33" s="44">
        <v>0.23499999999999999</v>
      </c>
      <c r="L33" s="4">
        <v>0.23050000000000001</v>
      </c>
      <c r="M33" s="5">
        <f>(22876-16702)/22876</f>
        <v>0.26988984088127294</v>
      </c>
      <c r="N33" s="6">
        <v>44681</v>
      </c>
      <c r="O33" s="1" t="s">
        <v>161</v>
      </c>
      <c r="P33" s="1">
        <v>124666</v>
      </c>
      <c r="Q33" s="1">
        <v>483</v>
      </c>
      <c r="R33" s="7">
        <v>9</v>
      </c>
      <c r="S33" s="7">
        <v>10</v>
      </c>
      <c r="T33" s="8">
        <v>0.24166666666666667</v>
      </c>
      <c r="U33" s="1"/>
      <c r="V33" s="8">
        <v>0.27430555555555558</v>
      </c>
      <c r="W33" s="1"/>
      <c r="X33" s="9">
        <v>20.429629629629598</v>
      </c>
      <c r="Y33" s="9">
        <v>19.0555555555555</v>
      </c>
      <c r="Z33" s="9">
        <v>21.4607142857142</v>
      </c>
      <c r="AA33" s="9" t="s">
        <v>67</v>
      </c>
      <c r="AB33" s="7">
        <v>5</v>
      </c>
      <c r="AC33" s="9">
        <v>44.8333333</v>
      </c>
      <c r="AD33" s="9">
        <v>48</v>
      </c>
      <c r="AE33" s="9">
        <v>52</v>
      </c>
      <c r="AF33" s="9">
        <v>34</v>
      </c>
      <c r="AG33" s="1" t="s">
        <v>68</v>
      </c>
      <c r="AH33" s="7">
        <v>0</v>
      </c>
      <c r="AI33" s="7">
        <v>0</v>
      </c>
      <c r="AJ33" s="11" t="s">
        <v>67</v>
      </c>
      <c r="AK33" s="1" t="s">
        <v>68</v>
      </c>
      <c r="AL33" s="11" t="s">
        <v>67</v>
      </c>
      <c r="AM33" s="1" t="s">
        <v>68</v>
      </c>
      <c r="AN33" s="10" t="s">
        <v>67</v>
      </c>
      <c r="AO33" s="10" t="s">
        <v>67</v>
      </c>
      <c r="AP33" s="11" t="s">
        <v>67</v>
      </c>
      <c r="AQ33" s="10" t="s">
        <v>67</v>
      </c>
      <c r="AR33" s="10" t="s">
        <v>67</v>
      </c>
      <c r="AS33" s="1" t="s">
        <v>68</v>
      </c>
      <c r="AT33" s="7">
        <v>0</v>
      </c>
      <c r="AU33" s="7">
        <v>0</v>
      </c>
      <c r="AV33" s="11" t="s">
        <v>67</v>
      </c>
      <c r="AW33" s="1" t="s">
        <v>68</v>
      </c>
      <c r="AX33" s="11" t="s">
        <v>67</v>
      </c>
      <c r="AY33" s="1" t="s">
        <v>68</v>
      </c>
      <c r="AZ33" s="10" t="s">
        <v>67</v>
      </c>
      <c r="BA33" s="10" t="s">
        <v>67</v>
      </c>
      <c r="BB33" s="11" t="s">
        <v>67</v>
      </c>
      <c r="BC33" s="10" t="s">
        <v>67</v>
      </c>
      <c r="BD33" s="10" t="s">
        <v>67</v>
      </c>
      <c r="BE33" s="1"/>
      <c r="BF33" s="1"/>
      <c r="BG33" s="1"/>
      <c r="BH33" s="1"/>
      <c r="BI33" s="1"/>
      <c r="BJ33" s="1"/>
      <c r="BK33" s="1"/>
      <c r="BL33" s="1"/>
      <c r="BM33" s="1"/>
      <c r="BN33" s="1" t="s">
        <v>69</v>
      </c>
      <c r="BO33" s="1"/>
      <c r="BP33" s="1" t="s">
        <v>69</v>
      </c>
      <c r="BQ33" s="1" t="s">
        <v>69</v>
      </c>
      <c r="BR33" s="1" t="s">
        <v>69</v>
      </c>
      <c r="BS33" s="1" t="s">
        <v>69</v>
      </c>
      <c r="BT33" s="1"/>
      <c r="BU33" s="1"/>
      <c r="BV33" s="1"/>
      <c r="BW33" s="1" t="s">
        <v>69</v>
      </c>
      <c r="BX33" s="1" t="s">
        <v>69</v>
      </c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 t="s">
        <v>69</v>
      </c>
      <c r="CU33" s="1"/>
      <c r="CV33" s="1"/>
    </row>
    <row r="34" spans="1:100" ht="15.75" customHeight="1" x14ac:dyDescent="0.25">
      <c r="A34" s="1" t="s">
        <v>84</v>
      </c>
      <c r="B34" s="1" t="s">
        <v>183</v>
      </c>
      <c r="C34" s="1" t="s">
        <v>107</v>
      </c>
      <c r="D34" s="45">
        <v>30.100899999999999</v>
      </c>
      <c r="E34" s="1" t="s">
        <v>63</v>
      </c>
      <c r="F34" s="2">
        <v>73</v>
      </c>
      <c r="G34" s="2">
        <v>67</v>
      </c>
      <c r="H34" s="2">
        <v>11</v>
      </c>
      <c r="I34" s="2">
        <v>20</v>
      </c>
      <c r="J34" s="3">
        <v>50679</v>
      </c>
      <c r="K34" s="44">
        <v>0.24030000000000001</v>
      </c>
      <c r="L34" s="4">
        <v>0.20960000000000001</v>
      </c>
      <c r="M34" s="5">
        <f>(26184-19518)/26184</f>
        <v>0.25458295142071496</v>
      </c>
      <c r="N34" s="6">
        <v>44742</v>
      </c>
      <c r="O34" s="1" t="s">
        <v>161</v>
      </c>
      <c r="P34" s="1">
        <v>317296</v>
      </c>
      <c r="Q34" s="1">
        <v>1230</v>
      </c>
      <c r="R34" s="7">
        <v>28</v>
      </c>
      <c r="S34" s="7">
        <v>21</v>
      </c>
      <c r="T34" s="8">
        <v>0.23541666666666666</v>
      </c>
      <c r="U34" s="1"/>
      <c r="V34" s="8">
        <v>0.27638888888888891</v>
      </c>
      <c r="W34" s="1"/>
      <c r="X34" s="9">
        <v>41.341463414634099</v>
      </c>
      <c r="Y34" s="9">
        <v>54.712000000000003</v>
      </c>
      <c r="Z34" s="9">
        <v>31.197674418604599</v>
      </c>
      <c r="AA34" s="9">
        <v>64.073313782991207</v>
      </c>
      <c r="AB34" s="7">
        <v>6</v>
      </c>
      <c r="AC34" s="9">
        <v>47.9</v>
      </c>
      <c r="AD34" s="9">
        <v>38.722222199999997</v>
      </c>
      <c r="AE34" s="9">
        <v>63.636363600000003</v>
      </c>
      <c r="AF34" s="9">
        <v>60.9</v>
      </c>
      <c r="AG34" s="1" t="s">
        <v>68</v>
      </c>
      <c r="AH34" s="7">
        <v>0</v>
      </c>
      <c r="AI34" s="7">
        <v>0</v>
      </c>
      <c r="AJ34" s="11" t="s">
        <v>67</v>
      </c>
      <c r="AK34" s="1" t="s">
        <v>68</v>
      </c>
      <c r="AL34" s="11" t="s">
        <v>67</v>
      </c>
      <c r="AM34" s="1" t="s">
        <v>68</v>
      </c>
      <c r="AN34" s="10" t="s">
        <v>67</v>
      </c>
      <c r="AO34" s="10" t="s">
        <v>67</v>
      </c>
      <c r="AP34" s="11" t="s">
        <v>67</v>
      </c>
      <c r="AQ34" s="10" t="s">
        <v>67</v>
      </c>
      <c r="AR34" s="10" t="s">
        <v>67</v>
      </c>
      <c r="AS34" s="1" t="s">
        <v>68</v>
      </c>
      <c r="AT34" s="7">
        <v>0</v>
      </c>
      <c r="AU34" s="7">
        <v>0</v>
      </c>
      <c r="AV34" s="11" t="s">
        <v>67</v>
      </c>
      <c r="AW34" s="1" t="s">
        <v>68</v>
      </c>
      <c r="AX34" s="11" t="s">
        <v>67</v>
      </c>
      <c r="AY34" s="1" t="s">
        <v>68</v>
      </c>
      <c r="AZ34" s="10" t="s">
        <v>67</v>
      </c>
      <c r="BA34" s="10" t="s">
        <v>67</v>
      </c>
      <c r="BB34" s="11" t="s">
        <v>67</v>
      </c>
      <c r="BC34" s="10" t="s">
        <v>67</v>
      </c>
      <c r="BD34" s="10" t="s">
        <v>67</v>
      </c>
      <c r="BE34" s="1"/>
      <c r="BF34" s="1"/>
      <c r="BG34" s="1"/>
      <c r="BH34" s="1"/>
      <c r="BI34" s="1"/>
      <c r="BJ34" s="1"/>
      <c r="BK34" s="1"/>
      <c r="BL34" s="1"/>
      <c r="BM34" s="1"/>
      <c r="BN34" s="1" t="s">
        <v>69</v>
      </c>
      <c r="BO34" s="1"/>
      <c r="BP34" s="1" t="s">
        <v>69</v>
      </c>
      <c r="BQ34" s="1" t="s">
        <v>69</v>
      </c>
      <c r="BR34" s="1" t="s">
        <v>69</v>
      </c>
      <c r="BS34" s="1" t="s">
        <v>69</v>
      </c>
      <c r="BT34" s="1"/>
      <c r="BU34" s="1"/>
      <c r="BV34" s="1"/>
      <c r="BW34" s="1" t="s">
        <v>69</v>
      </c>
      <c r="BX34" s="1" t="s">
        <v>69</v>
      </c>
      <c r="BY34" s="1" t="s">
        <v>69</v>
      </c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 t="s">
        <v>69</v>
      </c>
      <c r="CU34" s="1"/>
      <c r="CV34" s="1"/>
    </row>
    <row r="35" spans="1:100" ht="15.75" customHeight="1" x14ac:dyDescent="0.25">
      <c r="A35" s="1" t="s">
        <v>184</v>
      </c>
      <c r="B35" s="1" t="s">
        <v>185</v>
      </c>
      <c r="C35" s="1" t="s">
        <v>107</v>
      </c>
      <c r="D35" s="1">
        <v>30.558199999999999</v>
      </c>
      <c r="E35" s="1" t="s">
        <v>63</v>
      </c>
      <c r="F35" s="2">
        <v>63</v>
      </c>
      <c r="G35" s="2">
        <v>54</v>
      </c>
      <c r="H35" s="2">
        <v>19</v>
      </c>
      <c r="I35" s="2">
        <v>41</v>
      </c>
      <c r="J35" s="3">
        <v>50750</v>
      </c>
      <c r="K35" s="44">
        <v>0.23719999999999999</v>
      </c>
      <c r="L35" s="4">
        <v>0.20599999999999999</v>
      </c>
      <c r="M35" s="5">
        <f>(26378-19894)/26378</f>
        <v>0.2458109030252483</v>
      </c>
      <c r="N35" s="6">
        <v>45141</v>
      </c>
      <c r="O35" s="1" t="s">
        <v>161</v>
      </c>
      <c r="P35" s="1">
        <v>65957</v>
      </c>
      <c r="Q35" s="1">
        <v>256</v>
      </c>
      <c r="R35" s="7">
        <v>8</v>
      </c>
      <c r="S35" s="7">
        <v>4</v>
      </c>
      <c r="T35" s="8">
        <v>0.23680555555555555</v>
      </c>
      <c r="U35" s="1"/>
      <c r="V35" s="8">
        <v>0.67500000000000004</v>
      </c>
      <c r="W35" s="1"/>
      <c r="X35" s="9">
        <v>32.5</v>
      </c>
      <c r="Y35" s="9" t="s">
        <v>67</v>
      </c>
      <c r="Z35" s="9">
        <v>33.406392694063904</v>
      </c>
      <c r="AA35" s="9" t="s">
        <v>67</v>
      </c>
      <c r="AB35" s="7">
        <v>4</v>
      </c>
      <c r="AC35" s="9">
        <v>32.571428599999997</v>
      </c>
      <c r="AD35" s="9">
        <v>64</v>
      </c>
      <c r="AE35" s="9">
        <v>59.25</v>
      </c>
      <c r="AF35" s="10" t="s">
        <v>67</v>
      </c>
      <c r="AG35" s="1" t="s">
        <v>68</v>
      </c>
      <c r="AH35" s="7">
        <v>0</v>
      </c>
      <c r="AI35" s="7">
        <v>0</v>
      </c>
      <c r="AJ35" s="11" t="s">
        <v>67</v>
      </c>
      <c r="AK35" s="1" t="s">
        <v>68</v>
      </c>
      <c r="AL35" s="11" t="s">
        <v>67</v>
      </c>
      <c r="AM35" s="1" t="s">
        <v>68</v>
      </c>
      <c r="AN35" s="10" t="s">
        <v>67</v>
      </c>
      <c r="AO35" s="10" t="s">
        <v>67</v>
      </c>
      <c r="AP35" s="11" t="s">
        <v>67</v>
      </c>
      <c r="AQ35" s="10" t="s">
        <v>67</v>
      </c>
      <c r="AR35" s="10" t="s">
        <v>67</v>
      </c>
      <c r="AS35" s="1" t="s">
        <v>68</v>
      </c>
      <c r="AT35" s="7">
        <v>0</v>
      </c>
      <c r="AU35" s="7">
        <v>0</v>
      </c>
      <c r="AV35" s="11" t="s">
        <v>67</v>
      </c>
      <c r="AW35" s="1" t="s">
        <v>68</v>
      </c>
      <c r="AX35" s="11" t="s">
        <v>67</v>
      </c>
      <c r="AY35" s="1" t="s">
        <v>68</v>
      </c>
      <c r="AZ35" s="10" t="s">
        <v>67</v>
      </c>
      <c r="BA35" s="10" t="s">
        <v>67</v>
      </c>
      <c r="BB35" s="11" t="s">
        <v>67</v>
      </c>
      <c r="BC35" s="10" t="s">
        <v>67</v>
      </c>
      <c r="BD35" s="10" t="s">
        <v>67</v>
      </c>
      <c r="BE35" s="1"/>
      <c r="BF35" s="1"/>
      <c r="BG35" s="1"/>
      <c r="BH35" s="1"/>
      <c r="BI35" s="1"/>
      <c r="BJ35" s="1"/>
      <c r="BK35" s="1"/>
      <c r="BL35" s="1"/>
      <c r="BM35" s="1"/>
      <c r="BN35" s="1" t="s">
        <v>69</v>
      </c>
      <c r="BO35" s="1"/>
      <c r="BP35" s="1" t="s">
        <v>69</v>
      </c>
      <c r="BQ35" s="1" t="s">
        <v>69</v>
      </c>
      <c r="BR35" s="1" t="s">
        <v>69</v>
      </c>
      <c r="BS35" s="1" t="s">
        <v>69</v>
      </c>
      <c r="BT35" s="1"/>
      <c r="BU35" s="1"/>
      <c r="BV35" s="1"/>
      <c r="BW35" s="1" t="s">
        <v>69</v>
      </c>
      <c r="BX35" s="1" t="s">
        <v>69</v>
      </c>
      <c r="BY35" s="1" t="s">
        <v>69</v>
      </c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 t="s">
        <v>69</v>
      </c>
      <c r="CR35" s="1"/>
      <c r="CS35" s="1"/>
      <c r="CT35" s="1" t="s">
        <v>69</v>
      </c>
      <c r="CU35" s="1"/>
      <c r="CV35" s="1"/>
    </row>
    <row r="36" spans="1:100" ht="15.75" customHeight="1" x14ac:dyDescent="0.25">
      <c r="A36" s="1" t="s">
        <v>81</v>
      </c>
      <c r="B36" s="1" t="s">
        <v>186</v>
      </c>
      <c r="C36" s="1" t="s">
        <v>107</v>
      </c>
      <c r="D36" s="1">
        <v>34.342799999999997</v>
      </c>
      <c r="E36" s="1" t="s">
        <v>63</v>
      </c>
      <c r="F36" s="2">
        <v>21</v>
      </c>
      <c r="G36" s="2">
        <v>21</v>
      </c>
      <c r="H36" s="2">
        <v>64</v>
      </c>
      <c r="I36" s="2">
        <v>44</v>
      </c>
      <c r="J36" s="3">
        <v>51470</v>
      </c>
      <c r="K36" s="44">
        <v>0.28689999999999999</v>
      </c>
      <c r="L36" s="4">
        <v>0.25</v>
      </c>
      <c r="M36" s="5">
        <f>(26546-18957)/26546</f>
        <v>0.28588111203194455</v>
      </c>
      <c r="N36" s="6">
        <v>40514</v>
      </c>
      <c r="O36" s="1" t="s">
        <v>64</v>
      </c>
      <c r="P36" s="1">
        <v>197203</v>
      </c>
      <c r="Q36" s="1">
        <v>764</v>
      </c>
      <c r="R36" s="7">
        <v>15</v>
      </c>
      <c r="S36" s="7">
        <v>14</v>
      </c>
      <c r="T36" s="8">
        <v>0.22569444444444445</v>
      </c>
      <c r="U36" s="1"/>
      <c r="V36" s="8">
        <v>0.2638888888888889</v>
      </c>
      <c r="W36" s="1"/>
      <c r="X36" s="9">
        <v>24.344444444444399</v>
      </c>
      <c r="Y36" s="9">
        <v>28.716666666666601</v>
      </c>
      <c r="Z36" s="9">
        <v>24.641509433962199</v>
      </c>
      <c r="AA36" s="9" t="s">
        <v>67</v>
      </c>
      <c r="AB36" s="7">
        <v>5</v>
      </c>
      <c r="AC36" s="9">
        <v>54.6</v>
      </c>
      <c r="AD36" s="9">
        <v>54.6</v>
      </c>
      <c r="AE36" s="9">
        <v>47.8333333</v>
      </c>
      <c r="AF36" s="9">
        <v>45</v>
      </c>
      <c r="AG36" s="1" t="s">
        <v>68</v>
      </c>
      <c r="AH36" s="7">
        <v>0</v>
      </c>
      <c r="AI36" s="7">
        <v>0</v>
      </c>
      <c r="AJ36" s="11" t="s">
        <v>67</v>
      </c>
      <c r="AK36" s="1" t="s">
        <v>68</v>
      </c>
      <c r="AL36" s="11" t="s">
        <v>67</v>
      </c>
      <c r="AM36" s="1" t="s">
        <v>68</v>
      </c>
      <c r="AN36" s="10" t="s">
        <v>67</v>
      </c>
      <c r="AO36" s="10" t="s">
        <v>67</v>
      </c>
      <c r="AP36" s="11" t="s">
        <v>67</v>
      </c>
      <c r="AQ36" s="10" t="s">
        <v>67</v>
      </c>
      <c r="AR36" s="10" t="s">
        <v>67</v>
      </c>
      <c r="AS36" s="1" t="s">
        <v>68</v>
      </c>
      <c r="AT36" s="7">
        <v>0</v>
      </c>
      <c r="AU36" s="7">
        <v>0</v>
      </c>
      <c r="AV36" s="11" t="s">
        <v>67</v>
      </c>
      <c r="AW36" s="1" t="s">
        <v>68</v>
      </c>
      <c r="AX36" s="11" t="s">
        <v>67</v>
      </c>
      <c r="AY36" s="1" t="s">
        <v>68</v>
      </c>
      <c r="AZ36" s="10" t="s">
        <v>67</v>
      </c>
      <c r="BA36" s="10" t="s">
        <v>67</v>
      </c>
      <c r="BB36" s="11" t="s">
        <v>67</v>
      </c>
      <c r="BC36" s="10" t="s">
        <v>67</v>
      </c>
      <c r="BD36" s="10" t="s">
        <v>67</v>
      </c>
      <c r="BE36" s="1"/>
      <c r="BF36" s="1"/>
      <c r="BG36" s="1"/>
      <c r="BH36" s="1"/>
      <c r="BI36" s="1"/>
      <c r="BJ36" s="1"/>
      <c r="BK36" s="1"/>
      <c r="BL36" s="1"/>
      <c r="BM36" s="1"/>
      <c r="BN36" s="1" t="s">
        <v>69</v>
      </c>
      <c r="BO36" s="1"/>
      <c r="BP36" s="1" t="s">
        <v>69</v>
      </c>
      <c r="BQ36" s="1" t="s">
        <v>69</v>
      </c>
      <c r="BR36" s="1" t="s">
        <v>69</v>
      </c>
      <c r="BS36" s="1" t="s">
        <v>69</v>
      </c>
      <c r="BT36" s="1"/>
      <c r="BU36" s="1"/>
      <c r="BV36" s="1"/>
      <c r="BW36" s="1"/>
      <c r="BX36" s="1" t="s">
        <v>69</v>
      </c>
      <c r="BY36" s="1"/>
      <c r="BZ36" s="1" t="s">
        <v>69</v>
      </c>
      <c r="CA36" s="1"/>
      <c r="CB36" s="1"/>
      <c r="CC36" s="1" t="s">
        <v>69</v>
      </c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 t="s">
        <v>69</v>
      </c>
      <c r="CU36" s="1"/>
      <c r="CV36" s="1"/>
    </row>
    <row r="37" spans="1:100" ht="15.75" customHeight="1" x14ac:dyDescent="0.25">
      <c r="A37" s="1" t="s">
        <v>85</v>
      </c>
      <c r="B37" s="1" t="s">
        <v>187</v>
      </c>
      <c r="C37" s="1" t="s">
        <v>107</v>
      </c>
      <c r="D37" s="1">
        <v>17.1706</v>
      </c>
      <c r="E37" s="1" t="s">
        <v>63</v>
      </c>
      <c r="F37" s="2">
        <v>29</v>
      </c>
      <c r="G37" s="2">
        <v>28</v>
      </c>
      <c r="H37" s="2">
        <v>44</v>
      </c>
      <c r="I37" s="2">
        <v>23</v>
      </c>
      <c r="J37" s="3">
        <v>47567</v>
      </c>
      <c r="K37" s="44">
        <v>0.24179999999999999</v>
      </c>
      <c r="L37" s="4">
        <v>0.246</v>
      </c>
      <c r="M37" s="5">
        <f>(24900-18661)/24900</f>
        <v>0.25056224899598395</v>
      </c>
      <c r="N37" s="6">
        <v>47057</v>
      </c>
      <c r="O37" s="1" t="s">
        <v>161</v>
      </c>
      <c r="P37" s="1">
        <v>147214</v>
      </c>
      <c r="Q37" s="1">
        <v>571</v>
      </c>
      <c r="R37" s="7">
        <v>18</v>
      </c>
      <c r="S37" s="7">
        <v>12</v>
      </c>
      <c r="T37" s="8">
        <v>0.24722222222222223</v>
      </c>
      <c r="U37" s="1"/>
      <c r="V37" s="8">
        <v>0.27638888888888891</v>
      </c>
      <c r="W37" s="1"/>
      <c r="X37" s="9">
        <v>19.367272727272699</v>
      </c>
      <c r="Y37" s="9">
        <v>20</v>
      </c>
      <c r="Z37" s="9">
        <v>21.002314814814799</v>
      </c>
      <c r="AA37" s="9" t="s">
        <v>67</v>
      </c>
      <c r="AB37" s="7">
        <v>6</v>
      </c>
      <c r="AC37" s="9">
        <v>26.571428600000001</v>
      </c>
      <c r="AD37" s="9">
        <v>32.25</v>
      </c>
      <c r="AE37" s="9">
        <v>42.25</v>
      </c>
      <c r="AF37" s="10" t="s">
        <v>67</v>
      </c>
      <c r="AG37" s="1" t="s">
        <v>68</v>
      </c>
      <c r="AH37" s="7">
        <v>0</v>
      </c>
      <c r="AI37" s="7">
        <v>0</v>
      </c>
      <c r="AJ37" s="11" t="s">
        <v>67</v>
      </c>
      <c r="AK37" s="1" t="s">
        <v>68</v>
      </c>
      <c r="AL37" s="11" t="s">
        <v>67</v>
      </c>
      <c r="AM37" s="1" t="s">
        <v>68</v>
      </c>
      <c r="AN37" s="10" t="s">
        <v>67</v>
      </c>
      <c r="AO37" s="10" t="s">
        <v>67</v>
      </c>
      <c r="AP37" s="11" t="s">
        <v>67</v>
      </c>
      <c r="AQ37" s="10" t="s">
        <v>67</v>
      </c>
      <c r="AR37" s="10" t="s">
        <v>67</v>
      </c>
      <c r="AS37" s="1" t="s">
        <v>68</v>
      </c>
      <c r="AT37" s="7">
        <v>0</v>
      </c>
      <c r="AU37" s="7">
        <v>0</v>
      </c>
      <c r="AV37" s="11" t="s">
        <v>67</v>
      </c>
      <c r="AW37" s="1" t="s">
        <v>68</v>
      </c>
      <c r="AX37" s="11" t="s">
        <v>67</v>
      </c>
      <c r="AY37" s="1" t="s">
        <v>68</v>
      </c>
      <c r="AZ37" s="10" t="s">
        <v>67</v>
      </c>
      <c r="BA37" s="10" t="s">
        <v>67</v>
      </c>
      <c r="BB37" s="11" t="s">
        <v>67</v>
      </c>
      <c r="BC37" s="10" t="s">
        <v>67</v>
      </c>
      <c r="BD37" s="10" t="s">
        <v>67</v>
      </c>
      <c r="BE37" s="1"/>
      <c r="BF37" s="1"/>
      <c r="BG37" s="1"/>
      <c r="BH37" s="1"/>
      <c r="BI37" s="1"/>
      <c r="BJ37" s="1"/>
      <c r="BK37" s="1" t="s">
        <v>69</v>
      </c>
      <c r="BL37" s="1"/>
      <c r="BM37" s="1"/>
      <c r="BN37" s="1" t="s">
        <v>69</v>
      </c>
      <c r="BO37" s="1"/>
      <c r="BP37" s="1" t="s">
        <v>69</v>
      </c>
      <c r="BQ37" s="1" t="s">
        <v>69</v>
      </c>
      <c r="BR37" s="1" t="s">
        <v>69</v>
      </c>
      <c r="BS37" s="1" t="s">
        <v>69</v>
      </c>
      <c r="BT37" s="1"/>
      <c r="BU37" s="1"/>
      <c r="BV37" s="1"/>
      <c r="BW37" s="1"/>
      <c r="BX37" s="1" t="s">
        <v>69</v>
      </c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 t="s">
        <v>69</v>
      </c>
      <c r="CU37" s="1"/>
      <c r="CV37" s="1"/>
    </row>
    <row r="38" spans="1:100" ht="15.75" customHeight="1" x14ac:dyDescent="0.25">
      <c r="A38" s="1" t="s">
        <v>83</v>
      </c>
      <c r="B38" s="1" t="s">
        <v>188</v>
      </c>
      <c r="C38" s="1" t="s">
        <v>107</v>
      </c>
      <c r="D38" s="1">
        <v>36.5107</v>
      </c>
      <c r="E38" s="1" t="s">
        <v>63</v>
      </c>
      <c r="F38" s="2">
        <v>41</v>
      </c>
      <c r="G38" s="2">
        <v>36</v>
      </c>
      <c r="H38" s="2">
        <v>24</v>
      </c>
      <c r="I38" s="2">
        <v>49</v>
      </c>
      <c r="J38" s="3">
        <v>47494</v>
      </c>
      <c r="K38" s="44">
        <v>0.22370000000000001</v>
      </c>
      <c r="L38" s="4">
        <v>0.20710000000000001</v>
      </c>
      <c r="M38" s="5">
        <f>(24907-18804)/24907</f>
        <v>0.24503151724414823</v>
      </c>
      <c r="N38" s="6">
        <v>46430</v>
      </c>
      <c r="O38" s="1" t="s">
        <v>64</v>
      </c>
      <c r="P38" s="1">
        <v>263476</v>
      </c>
      <c r="Q38" s="1">
        <v>1021</v>
      </c>
      <c r="R38" s="7">
        <v>22</v>
      </c>
      <c r="S38" s="7">
        <v>12</v>
      </c>
      <c r="T38" s="8">
        <v>0.23055555555555557</v>
      </c>
      <c r="U38" s="1"/>
      <c r="V38" s="8">
        <v>0.27430555555555558</v>
      </c>
      <c r="W38" s="1"/>
      <c r="X38" s="9">
        <v>13.3333333333333</v>
      </c>
      <c r="Y38" s="9">
        <v>16.976608187134499</v>
      </c>
      <c r="Z38" s="9">
        <v>17.1425925925925</v>
      </c>
      <c r="AA38" s="9" t="s">
        <v>67</v>
      </c>
      <c r="AB38" s="7">
        <v>13</v>
      </c>
      <c r="AC38" s="9">
        <v>37.125</v>
      </c>
      <c r="AD38" s="9">
        <v>43.6666667</v>
      </c>
      <c r="AE38" s="9">
        <v>61.5833333</v>
      </c>
      <c r="AF38" s="10" t="s">
        <v>67</v>
      </c>
      <c r="AG38" s="1" t="s">
        <v>68</v>
      </c>
      <c r="AH38" s="7">
        <v>0</v>
      </c>
      <c r="AI38" s="7">
        <v>0</v>
      </c>
      <c r="AJ38" s="11" t="s">
        <v>67</v>
      </c>
      <c r="AK38" s="1" t="s">
        <v>68</v>
      </c>
      <c r="AL38" s="11" t="s">
        <v>67</v>
      </c>
      <c r="AM38" s="1" t="s">
        <v>68</v>
      </c>
      <c r="AN38" s="10" t="s">
        <v>67</v>
      </c>
      <c r="AO38" s="10" t="s">
        <v>67</v>
      </c>
      <c r="AP38" s="11" t="s">
        <v>67</v>
      </c>
      <c r="AQ38" s="10" t="s">
        <v>67</v>
      </c>
      <c r="AR38" s="10" t="s">
        <v>67</v>
      </c>
      <c r="AS38" s="1" t="s">
        <v>68</v>
      </c>
      <c r="AT38" s="7">
        <v>0</v>
      </c>
      <c r="AU38" s="7">
        <v>0</v>
      </c>
      <c r="AV38" s="11" t="s">
        <v>67</v>
      </c>
      <c r="AW38" s="1" t="s">
        <v>68</v>
      </c>
      <c r="AX38" s="11" t="s">
        <v>67</v>
      </c>
      <c r="AY38" s="1" t="s">
        <v>68</v>
      </c>
      <c r="AZ38" s="10" t="s">
        <v>67</v>
      </c>
      <c r="BA38" s="10" t="s">
        <v>67</v>
      </c>
      <c r="BB38" s="11" t="s">
        <v>67</v>
      </c>
      <c r="BC38" s="10" t="s">
        <v>67</v>
      </c>
      <c r="BD38" s="10" t="s">
        <v>67</v>
      </c>
      <c r="BE38" s="1"/>
      <c r="BF38" s="1"/>
      <c r="BG38" s="1"/>
      <c r="BH38" s="1"/>
      <c r="BI38" s="1"/>
      <c r="BJ38" s="1"/>
      <c r="BK38" s="1"/>
      <c r="BL38" s="1"/>
      <c r="BM38" s="1"/>
      <c r="BN38" s="1" t="s">
        <v>69</v>
      </c>
      <c r="BO38" s="1"/>
      <c r="BP38" s="1" t="s">
        <v>69</v>
      </c>
      <c r="BQ38" s="1" t="s">
        <v>69</v>
      </c>
      <c r="BR38" s="1" t="s">
        <v>69</v>
      </c>
      <c r="BS38" s="1" t="s">
        <v>69</v>
      </c>
      <c r="BT38" s="1"/>
      <c r="BU38" s="1"/>
      <c r="BV38" s="1"/>
      <c r="BW38" s="1"/>
      <c r="BX38" s="1" t="s">
        <v>69</v>
      </c>
      <c r="BY38" s="1" t="s">
        <v>69</v>
      </c>
      <c r="BZ38" s="1" t="s">
        <v>69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 t="s">
        <v>69</v>
      </c>
      <c r="CU38" s="1"/>
      <c r="CV38" s="1"/>
    </row>
    <row r="39" spans="1:100" ht="15.75" customHeight="1" x14ac:dyDescent="0.25">
      <c r="A39" s="1" t="s">
        <v>96</v>
      </c>
      <c r="B39" s="1" t="s">
        <v>189</v>
      </c>
      <c r="C39" s="1" t="s">
        <v>163</v>
      </c>
      <c r="D39" s="1">
        <v>39.752800000000001</v>
      </c>
      <c r="E39" s="1" t="s">
        <v>63</v>
      </c>
      <c r="F39" s="2">
        <v>50</v>
      </c>
      <c r="G39" s="2">
        <v>55</v>
      </c>
      <c r="H39" s="2">
        <v>38</v>
      </c>
      <c r="I39" s="2">
        <v>40</v>
      </c>
      <c r="J39" s="3">
        <v>54007</v>
      </c>
      <c r="K39" s="44">
        <v>0.245</v>
      </c>
      <c r="L39" s="4">
        <v>0.2011</v>
      </c>
      <c r="M39" s="5">
        <f>(27871-20642)/27871</f>
        <v>0.25937354239173332</v>
      </c>
      <c r="N39" s="6">
        <v>44957</v>
      </c>
      <c r="O39" s="1" t="s">
        <v>161</v>
      </c>
      <c r="P39" s="1">
        <v>318321</v>
      </c>
      <c r="Q39" s="1">
        <v>1234</v>
      </c>
      <c r="R39" s="7">
        <v>27</v>
      </c>
      <c r="S39" s="7">
        <v>23</v>
      </c>
      <c r="T39" s="8">
        <v>0.19930555555555557</v>
      </c>
      <c r="U39" s="1"/>
      <c r="V39" s="8">
        <v>0.2361111111111111</v>
      </c>
      <c r="W39" s="1"/>
      <c r="X39" s="9">
        <v>22.6883116883116</v>
      </c>
      <c r="Y39" s="9">
        <v>48.868378812198998</v>
      </c>
      <c r="Z39" s="9">
        <v>23.636363636363601</v>
      </c>
      <c r="AA39" s="9">
        <v>57.8441558441558</v>
      </c>
      <c r="AB39" s="7">
        <v>7</v>
      </c>
      <c r="AC39" s="9">
        <v>48.6666667</v>
      </c>
      <c r="AD39" s="9">
        <v>52.0833333</v>
      </c>
      <c r="AE39" s="9">
        <v>55.5833333</v>
      </c>
      <c r="AF39" s="9">
        <v>51.909090900000002</v>
      </c>
      <c r="AG39" s="1" t="s">
        <v>68</v>
      </c>
      <c r="AH39" s="7">
        <v>0</v>
      </c>
      <c r="AI39" s="7">
        <v>0</v>
      </c>
      <c r="AJ39" s="11" t="s">
        <v>67</v>
      </c>
      <c r="AK39" s="1" t="s">
        <v>68</v>
      </c>
      <c r="AL39" s="11" t="s">
        <v>67</v>
      </c>
      <c r="AM39" s="1" t="s">
        <v>68</v>
      </c>
      <c r="AN39" s="10" t="s">
        <v>67</v>
      </c>
      <c r="AO39" s="10" t="s">
        <v>67</v>
      </c>
      <c r="AP39" s="11" t="s">
        <v>67</v>
      </c>
      <c r="AQ39" s="10" t="s">
        <v>67</v>
      </c>
      <c r="AR39" s="10" t="s">
        <v>67</v>
      </c>
      <c r="AS39" s="1" t="s">
        <v>68</v>
      </c>
      <c r="AT39" s="7">
        <v>0</v>
      </c>
      <c r="AU39" s="7">
        <v>0</v>
      </c>
      <c r="AV39" s="11" t="s">
        <v>67</v>
      </c>
      <c r="AW39" s="1" t="s">
        <v>68</v>
      </c>
      <c r="AX39" s="11" t="s">
        <v>67</v>
      </c>
      <c r="AY39" s="1" t="s">
        <v>68</v>
      </c>
      <c r="AZ39" s="10" t="s">
        <v>67</v>
      </c>
      <c r="BA39" s="10" t="s">
        <v>67</v>
      </c>
      <c r="BB39" s="11" t="s">
        <v>67</v>
      </c>
      <c r="BC39" s="10" t="s">
        <v>67</v>
      </c>
      <c r="BD39" s="10" t="s">
        <v>67</v>
      </c>
      <c r="BE39" s="1"/>
      <c r="BF39" s="1"/>
      <c r="BG39" s="1"/>
      <c r="BH39" s="1"/>
      <c r="BI39" s="1" t="s">
        <v>69</v>
      </c>
      <c r="BJ39" s="1"/>
      <c r="BK39" s="1"/>
      <c r="BL39" s="1"/>
      <c r="BM39" s="1"/>
      <c r="BN39" s="1" t="s">
        <v>69</v>
      </c>
      <c r="BO39" s="1"/>
      <c r="BP39" s="1" t="s">
        <v>69</v>
      </c>
      <c r="BQ39" s="1" t="s">
        <v>69</v>
      </c>
      <c r="BR39" s="1" t="s">
        <v>69</v>
      </c>
      <c r="BS39" s="1" t="s">
        <v>69</v>
      </c>
      <c r="BT39" s="1"/>
      <c r="BU39" s="1" t="s">
        <v>69</v>
      </c>
      <c r="BV39" s="1"/>
      <c r="BW39" s="1"/>
      <c r="BX39" s="1" t="s">
        <v>69</v>
      </c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 t="s">
        <v>69</v>
      </c>
      <c r="CU39" s="1"/>
      <c r="CV39" s="1"/>
    </row>
    <row r="40" spans="1:100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1:100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1:100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1:100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1:100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1:100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1:100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1:100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1:100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1:100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spans="1:100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1:100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spans="1:100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spans="1:100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spans="1:100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spans="1:100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spans="1:100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spans="1:100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spans="1:100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spans="1:100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spans="1:100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spans="1:100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spans="1:100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spans="1:100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spans="1:100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spans="1:100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spans="1:100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spans="1:100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 spans="1:100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spans="1:100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spans="1:100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spans="1:100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spans="1:100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spans="1:100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spans="1:100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spans="1:100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spans="1:100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spans="1:100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spans="1:100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spans="1:100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spans="1:100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spans="1:100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spans="1:100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spans="1:100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spans="1:100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spans="1:100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spans="1:100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spans="1:100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spans="1:100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spans="1:100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spans="1:100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spans="1:100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spans="1:100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spans="1:100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spans="1:100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spans="1:100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spans="1:100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spans="1:100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spans="1:100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spans="1:100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spans="1:100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spans="1:100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spans="1:100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spans="1:100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spans="1:100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spans="1:100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spans="1:100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spans="1:100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spans="1:100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spans="1:100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spans="1:100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spans="1:100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1:100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spans="1:100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spans="1:100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spans="1:100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spans="1:100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spans="1:100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spans="1:100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spans="1:100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spans="1:100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spans="1:100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spans="1:100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spans="1:100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spans="1:100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spans="1:100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spans="1:100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spans="1:100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spans="1:100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spans="1:100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spans="1:100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spans="1:100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spans="1:100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spans="1:100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spans="1:100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spans="1:100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spans="1:100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spans="1:100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spans="1:100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spans="1:100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spans="1:100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spans="1:100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spans="1:100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spans="1:100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spans="1:100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spans="1:100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spans="1:100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spans="1:100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spans="1:100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spans="1:100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spans="1:100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spans="1:100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spans="1:100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spans="1:100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spans="1:100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spans="1:100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spans="1:100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spans="1:100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spans="1:100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spans="1:100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spans="1:100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spans="1:100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spans="1:100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spans="1:100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spans="1:100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spans="1:100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spans="1:100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spans="1:100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spans="1:100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spans="1:100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spans="1:100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spans="1:100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spans="1:100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spans="1:100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spans="1:100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spans="1:100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spans="1:100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spans="1:100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spans="1:100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spans="1:100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spans="1:100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spans="1:100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spans="1:100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spans="1:100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spans="1:100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spans="1:100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spans="1:100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spans="1:100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spans="1:100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spans="1:100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spans="1:100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spans="1:100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spans="1:100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spans="1:100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spans="1:100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spans="1:100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spans="1:100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spans="1:100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spans="1:100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spans="1:100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spans="1:100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spans="1:100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spans="1:100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spans="1:100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spans="1:100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spans="1:100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spans="1:100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spans="1:100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spans="1:100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spans="1:100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spans="1:100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spans="1:10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spans="1:10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spans="1:10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spans="1:10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spans="1:10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spans="1:10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spans="1:10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spans="1:10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spans="1:10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spans="1:10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spans="1:10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spans="1:10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spans="1:10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spans="1:10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spans="1:10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spans="1:10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spans="1:10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spans="1:10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spans="1:10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spans="1:10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spans="1:10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spans="1:10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spans="1:10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spans="1:10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spans="1:10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spans="1:10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spans="1:10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spans="1:10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spans="1:10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spans="1:10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spans="1:10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spans="1:10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spans="1:10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spans="1:10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spans="1:10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spans="1:10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spans="1:10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spans="1:10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spans="1:10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spans="1:10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spans="1:10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spans="1:10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spans="1:10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spans="1:10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spans="1:10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spans="1:10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spans="1:10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spans="1:10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spans="1:10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spans="1:10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spans="1:10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spans="1:10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spans="1:10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spans="1:10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spans="1:10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spans="1:10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spans="1:10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spans="1:10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spans="1:10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spans="1:10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spans="1:10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spans="1:10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spans="1:10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spans="1:10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spans="1:10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spans="1:10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spans="1:10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spans="1:10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spans="1:10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spans="1:10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spans="1:10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spans="1:10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spans="1:10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spans="1:10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spans="1:10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spans="1:10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spans="1:10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spans="1:10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spans="1:10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spans="1:10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spans="1:10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spans="1:10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spans="1:10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spans="1:10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spans="1:10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spans="1:10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spans="1:10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spans="1:10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spans="1:10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spans="1:10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spans="1:10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spans="1:10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spans="1:10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spans="1:10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spans="1:10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spans="1:10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spans="1:10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spans="1:10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spans="1:10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spans="1:10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spans="1:10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spans="1:10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spans="1:10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spans="1:10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spans="1:10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spans="1:10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spans="1:10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spans="1:10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spans="1:10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spans="1:10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spans="1:10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spans="1:10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spans="1:10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spans="1:10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spans="1:10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 spans="1:10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 spans="1:10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 spans="1:10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 spans="1:10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 spans="1:10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 spans="1:10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 spans="1:10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 spans="1:10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 spans="1:10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 spans="1:10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 spans="1:10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 spans="1:10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 spans="1:10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 spans="1:10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 spans="1:10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 spans="1:10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 spans="1:10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 spans="1:10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 spans="1:10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 spans="1:10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 spans="1:10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 spans="1:10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 spans="1:10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 spans="1:10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 spans="1:10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 spans="1:10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 spans="1:10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 spans="1:10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 spans="1:10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 spans="1:10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 spans="1:10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 spans="1:10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 spans="1:10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 spans="1:10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 spans="1:10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 spans="1:10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 spans="1:10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 spans="1:10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 spans="1:10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 spans="1:10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 spans="1:10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 spans="1:10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 spans="1:10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 spans="1:10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 spans="1:10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 spans="1:10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 spans="1:10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 spans="1:10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 spans="1:10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 spans="1:10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 spans="1:10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 spans="1:10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 spans="1:10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 spans="1:10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 spans="1:10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 spans="1:10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 spans="1:10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 spans="1:10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 spans="1:10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 spans="1:10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 spans="1:10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 spans="1:10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 spans="1:10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 spans="1:10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 spans="1:10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 spans="1:10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 spans="1:10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 spans="1:10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 spans="1:10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 spans="1:10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 spans="1:10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 spans="1:10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 spans="1:10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 spans="1:10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 spans="1:10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 spans="1:10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 spans="1:10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 spans="1:10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 spans="1:10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 spans="1:10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 spans="1:10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 spans="1:10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 spans="1:10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 spans="1:10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 spans="1:10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 spans="1:10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 spans="1:10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 spans="1:10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 spans="1:10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 spans="1:10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 spans="1:10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 spans="1:10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 spans="1:10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 spans="1:10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 spans="1:10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 spans="1:10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 spans="1:10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 spans="1:10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 spans="1:10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 spans="1:10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 spans="1:10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 spans="1:10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 spans="1:10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 spans="1:10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 spans="1:10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 spans="1:10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 spans="1:10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 spans="1:10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 spans="1:10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 spans="1:10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 spans="1:10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 spans="1:10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 spans="1:10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 spans="1:10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 spans="1:10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 spans="1:10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 spans="1:10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 spans="1:10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 spans="1:10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 spans="1:10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 spans="1:10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 spans="1:10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 spans="1:10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 spans="1:10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 spans="1:10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 spans="1:10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 spans="1:10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 spans="1:10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pans="1:10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 spans="1:10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 spans="1:10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 spans="1:10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 spans="1:10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 spans="1:10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 spans="1:10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 spans="1:10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 spans="1:10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 spans="1:10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 spans="1:10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 spans="1:10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 spans="1:10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 spans="1:10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 spans="1:10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 spans="1:10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 spans="1:10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 spans="1:10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 spans="1:10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 spans="1:10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 spans="1:10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 spans="1:10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 spans="1:10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 spans="1:10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 spans="1:10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 spans="1:10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 spans="1:10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 spans="1:10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 spans="1:10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 spans="1:10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 spans="1:10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 spans="1:10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 spans="1:10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 spans="1:10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 spans="1:10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 spans="1:10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 spans="1:10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 spans="1:10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 spans="1:10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 spans="1:10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 spans="1:10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 spans="1:10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 spans="1:10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 spans="1:10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 spans="1:10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 spans="1:10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 spans="1:10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 spans="1:10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 spans="1:10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 spans="1:10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 spans="1:10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 spans="1:10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 spans="1:10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 spans="1:10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 spans="1:10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 spans="1:10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 spans="1:10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 spans="1:10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 spans="1:10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 spans="1:10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 spans="1:10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 spans="1:10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 spans="1:10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 spans="1:10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 spans="1:10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 spans="1:10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 spans="1:10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 spans="1:10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 spans="1:10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 spans="1:10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 spans="1:10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 spans="1:10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 spans="1:10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 spans="1:10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 spans="1:10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 spans="1:10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 spans="1:10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 spans="1:10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 spans="1:10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 spans="1:10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 spans="1:10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 spans="1:10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 spans="1:10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 spans="1:10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 spans="1:10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 spans="1:10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 spans="1:10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 spans="1:10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 spans="1:10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 spans="1:10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 spans="1:10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 spans="1:10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 spans="1:10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 spans="1:10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 spans="1:10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 spans="1:10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 spans="1:10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 spans="1:10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 spans="1:10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 spans="1:10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 spans="1:10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 spans="1:10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 spans="1:10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 spans="1:10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 spans="1:10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 spans="1:10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 spans="1:10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 spans="1:10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 spans="1:10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 spans="1:10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 spans="1:10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 spans="1:10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 spans="1:10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 spans="1:10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 spans="1:10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 spans="1:10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 spans="1:10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 spans="1:10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 spans="1:10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 spans="1:10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 spans="1:10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 spans="1:10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 spans="1:10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 spans="1:10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 spans="1:10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 spans="1:10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 spans="1:10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 spans="1:10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 spans="1:10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 spans="1:10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 spans="1:10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 spans="1:10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 spans="1:10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 spans="1:10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 spans="1:10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 spans="1:10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 spans="1:10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 spans="1:10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 spans="1:10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 spans="1:10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 spans="1:10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 spans="1:10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 spans="1:10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 spans="1:10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 spans="1:10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 spans="1:10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 spans="1:10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 spans="1:10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 spans="1:10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 spans="1:10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 spans="1:10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 spans="1:10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 spans="1:10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 spans="1:10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 spans="1:10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 spans="1:10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 spans="1:10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 spans="1:10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 spans="1:10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 spans="1:10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 spans="1:10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 spans="1:10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 spans="1:10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 spans="1:10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 spans="1:10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 spans="1:10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 spans="1:10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 spans="1:10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 spans="1:10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 spans="1:10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 spans="1:10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 spans="1:10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 spans="1:10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 spans="1:10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 spans="1:10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 spans="1:10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 spans="1:10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 spans="1:10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 spans="1:10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 spans="1:10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 spans="1:10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 spans="1:10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 spans="1:10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 spans="1:10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 spans="1:10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 spans="1:10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 spans="1:10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 spans="1:10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 spans="1:10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 spans="1:10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 spans="1:10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 spans="1:10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 spans="1:10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 spans="1:10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 spans="1:10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 spans="1:10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 spans="1:10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 spans="1:10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 spans="1:10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 spans="1:10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 spans="1:10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 spans="1:10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 spans="1:10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 spans="1:10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 spans="1:10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 spans="1:10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 spans="1:10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 spans="1:10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 spans="1:10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 spans="1:10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 spans="1:10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 spans="1:10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 spans="1:10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 spans="1:10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 spans="1:10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 spans="1:10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 spans="1:10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 spans="1:10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 spans="1:10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 spans="1:10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 spans="1:10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 spans="1:10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 spans="1:10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 spans="1:10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 spans="1:10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 spans="1:10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 spans="1:10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 spans="1:10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 spans="1:10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 spans="1:10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 spans="1:10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 spans="1:10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 spans="1:10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 spans="1:10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 spans="1:10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 spans="1:10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 spans="1:10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 spans="1:10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 spans="1:10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 spans="1:10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 spans="1:10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 spans="1:10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 spans="1:10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 spans="1:10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 spans="1:10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 spans="1:10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 spans="1:10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 spans="1:10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 spans="1:10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 spans="1:10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 spans="1:10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 spans="1:10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 spans="1:10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 spans="1:10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 spans="1:10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 spans="1:10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 spans="1:10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 spans="1:10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 spans="1:10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 spans="1:10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 spans="1:10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 spans="1:10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 spans="1:10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 spans="1:10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 spans="1:10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 spans="1:10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 spans="1:10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 spans="1:10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 spans="1:10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 spans="1:10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 spans="1:10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 spans="1:10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 spans="1:10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 spans="1:10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 spans="1:10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 spans="1:10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 spans="1:10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 spans="1:10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 spans="1:10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 spans="1:10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 spans="1:10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 spans="1:10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 spans="1:10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 spans="1:10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 spans="1:10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 spans="1:10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 spans="1:10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 spans="1:10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 spans="1:10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 spans="1:10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 spans="1:10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 spans="1:10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 spans="1:10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 spans="1:10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 spans="1:10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 spans="1:10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 spans="1:10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 spans="1:10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 spans="1:10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 spans="1:10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 spans="1:10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 spans="1:10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 spans="1:10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 spans="1:10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 spans="1:10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 spans="1:10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 spans="1:10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 spans="1:10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 spans="1:10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 spans="1:10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 spans="1:10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 spans="1:10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 spans="1:10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 spans="1:10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 spans="1:10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 spans="1:10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 spans="1:10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 spans="1:10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 spans="1:10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 spans="1:10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 spans="1:10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 spans="1:10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 spans="1:10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 spans="1:10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 spans="1:10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 spans="1:10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 spans="1:10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 spans="1:10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 spans="1:10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 spans="1:10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 spans="1:10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 spans="1:10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 spans="1:10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 spans="1:10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 spans="1:10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 spans="1:10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 spans="1:10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 spans="1:10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 spans="1:10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 spans="1:10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 spans="1:10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 spans="1:10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 spans="1:10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 spans="1:10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 spans="1:10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 spans="1:10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 spans="1:10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 spans="1:10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 spans="1:10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 spans="1:10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 spans="1:10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 spans="1:10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 spans="1:10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 spans="1:10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 spans="1:10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 spans="1:10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 spans="1:10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 spans="1:10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 spans="1:10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 spans="1:10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 spans="1:10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 spans="1:10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 spans="1:10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 spans="1:10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 spans="1:10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 spans="1:10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 spans="1:10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 spans="1:10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 spans="1:10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 spans="1:10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 spans="1:10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 spans="1:10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 spans="1:10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 spans="1:10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 spans="1:10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 spans="1:10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 spans="1:10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 spans="1:10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 spans="1:10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 spans="1:10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 spans="1:100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 spans="1:100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 spans="1:100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 spans="1:100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 spans="1:100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 spans="1:100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 spans="1:100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 spans="1:100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 spans="1:100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 spans="1:100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 spans="1:100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 spans="1:100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 spans="1:100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 spans="1:100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 spans="1:100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 spans="1:100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 spans="1:100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 spans="1:100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 spans="1:100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 spans="1:100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 spans="1:100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 spans="1:100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 spans="1:100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 spans="1:100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 spans="1:100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 spans="1:100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 spans="1:100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 spans="1:100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 spans="1:100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 spans="1:100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 spans="1:100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 spans="1:100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 spans="1:100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 spans="1:100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 spans="1:100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 spans="1:100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 spans="1:100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 spans="1:100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 spans="1:100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 spans="1:100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 spans="1:100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 spans="1:100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 spans="1:100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 spans="1:100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 spans="1:100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 spans="1:100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 spans="1:100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 spans="1:100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 spans="1:100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 spans="1:100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 spans="1:100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 spans="1:100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 spans="1:100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 spans="1:100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 spans="1:100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 spans="1:100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 spans="1:100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 spans="1:100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 spans="1:100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 spans="1:100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 spans="1:100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 spans="1:100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 spans="1:100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 spans="1:100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 spans="1:100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 spans="1:100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 spans="1:100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 spans="1:100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 spans="1:100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 spans="1:100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 spans="1:100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 spans="1:100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 spans="1:100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 spans="1:100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 spans="1:100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 spans="1:100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 spans="1:100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 spans="1:100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 spans="1:100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 spans="1:100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 spans="1:100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 spans="1:100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 spans="1:100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 spans="1:100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 spans="1:100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 spans="1:100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 spans="1:100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 spans="1:100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 spans="1:100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 spans="1:100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 spans="1:100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 spans="1:100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 spans="1:100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00"/>
  <sheetViews>
    <sheetView workbookViewId="0"/>
  </sheetViews>
  <sheetFormatPr defaultColWidth="11.21875" defaultRowHeight="15" customHeight="1" x14ac:dyDescent="0.2"/>
  <cols>
    <col min="1" max="1" width="11" customWidth="1"/>
    <col min="2" max="2" width="3.33203125" customWidth="1"/>
    <col min="3" max="6" width="3.109375" customWidth="1"/>
    <col min="7" max="8" width="4" customWidth="1"/>
    <col min="9" max="16" width="3.109375" customWidth="1"/>
    <col min="17" max="17" width="4.109375" customWidth="1"/>
    <col min="18" max="18" width="3.109375" customWidth="1"/>
    <col min="19" max="19" width="4.109375" customWidth="1"/>
    <col min="20" max="20" width="3.109375" customWidth="1"/>
    <col min="21" max="22" width="4.109375" customWidth="1"/>
    <col min="23" max="24" width="3.109375" customWidth="1"/>
    <col min="25" max="26" width="4.33203125" customWidth="1"/>
    <col min="27" max="27" width="4.109375" customWidth="1"/>
    <col min="28" max="28" width="4.33203125" customWidth="1"/>
    <col min="29" max="29" width="4.109375" customWidth="1"/>
    <col min="30" max="30" width="4.33203125" customWidth="1"/>
    <col min="31" max="33" width="3.109375" customWidth="1"/>
    <col min="34" max="37" width="4.109375" customWidth="1"/>
    <col min="38" max="38" width="16.44140625" customWidth="1"/>
    <col min="39" max="40" width="8" customWidth="1"/>
    <col min="41" max="41" width="11.6640625" customWidth="1"/>
    <col min="42" max="46" width="11" customWidth="1"/>
  </cols>
  <sheetData>
    <row r="1" spans="1:46" ht="15.75" customHeight="1" x14ac:dyDescent="0.2"/>
    <row r="2" spans="1:46" ht="15.75" customHeight="1" x14ac:dyDescent="0.25">
      <c r="A2" s="13"/>
      <c r="B2" s="13" t="s">
        <v>80</v>
      </c>
      <c r="C2" s="13">
        <v>1</v>
      </c>
      <c r="D2" s="13">
        <v>6</v>
      </c>
      <c r="E2" s="13">
        <v>7</v>
      </c>
      <c r="F2" s="13"/>
      <c r="G2" s="13" t="s">
        <v>60</v>
      </c>
      <c r="H2" s="13" t="s">
        <v>77</v>
      </c>
      <c r="I2" s="14">
        <v>55</v>
      </c>
      <c r="J2" s="14">
        <v>56</v>
      </c>
      <c r="K2" s="13">
        <v>57</v>
      </c>
      <c r="L2" s="14">
        <v>59</v>
      </c>
      <c r="M2" s="14">
        <v>60</v>
      </c>
      <c r="N2" s="14" t="s">
        <v>81</v>
      </c>
      <c r="O2" s="13">
        <v>64</v>
      </c>
      <c r="P2" s="15">
        <v>67</v>
      </c>
      <c r="Q2" s="15" t="s">
        <v>82</v>
      </c>
      <c r="R2" s="13">
        <v>69</v>
      </c>
      <c r="S2" s="14" t="s">
        <v>83</v>
      </c>
      <c r="T2" s="13">
        <v>71</v>
      </c>
      <c r="U2" s="15" t="s">
        <v>84</v>
      </c>
      <c r="V2" s="13" t="s">
        <v>85</v>
      </c>
      <c r="W2" s="13">
        <v>79</v>
      </c>
      <c r="X2" s="13">
        <v>86</v>
      </c>
      <c r="Y2" s="13" t="s">
        <v>86</v>
      </c>
      <c r="Z2" s="13" t="s">
        <v>87</v>
      </c>
      <c r="AA2" s="14" t="s">
        <v>88</v>
      </c>
      <c r="AB2" s="13" t="s">
        <v>89</v>
      </c>
      <c r="AC2" s="13" t="s">
        <v>90</v>
      </c>
      <c r="AD2" s="13" t="s">
        <v>91</v>
      </c>
      <c r="AE2" s="13" t="s">
        <v>92</v>
      </c>
      <c r="AF2" s="13" t="s">
        <v>93</v>
      </c>
      <c r="AG2" s="13" t="s">
        <v>94</v>
      </c>
      <c r="AH2" s="13" t="s">
        <v>95</v>
      </c>
      <c r="AI2" s="13" t="s">
        <v>96</v>
      </c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1:46" ht="15.75" customHeight="1" x14ac:dyDescent="0.25">
      <c r="B3" s="16">
        <v>12</v>
      </c>
      <c r="C3" s="16">
        <v>20</v>
      </c>
      <c r="D3" s="16">
        <v>20</v>
      </c>
      <c r="E3" s="16">
        <v>20</v>
      </c>
      <c r="G3" s="16">
        <v>12</v>
      </c>
      <c r="H3" s="16">
        <v>12</v>
      </c>
      <c r="I3" s="16">
        <v>21</v>
      </c>
      <c r="J3" s="16">
        <v>12</v>
      </c>
      <c r="K3" s="16">
        <v>12</v>
      </c>
      <c r="L3" s="16">
        <v>21</v>
      </c>
      <c r="M3" s="17">
        <v>22</v>
      </c>
      <c r="N3" s="16">
        <v>12</v>
      </c>
      <c r="O3" s="16">
        <v>11</v>
      </c>
      <c r="P3" s="16">
        <v>12</v>
      </c>
      <c r="Q3" s="16">
        <v>12</v>
      </c>
      <c r="R3" s="16">
        <v>12</v>
      </c>
      <c r="S3" s="18">
        <v>12</v>
      </c>
      <c r="T3" s="16">
        <v>12</v>
      </c>
      <c r="U3" s="18">
        <v>12</v>
      </c>
      <c r="V3" s="18" t="s">
        <v>97</v>
      </c>
      <c r="W3" s="18">
        <v>20</v>
      </c>
      <c r="X3" s="16">
        <v>12</v>
      </c>
      <c r="Y3" s="18">
        <v>12</v>
      </c>
      <c r="Z3" s="18">
        <v>12</v>
      </c>
      <c r="AA3" s="18">
        <v>12</v>
      </c>
      <c r="AB3" s="18">
        <v>12</v>
      </c>
      <c r="AC3" s="18">
        <v>12</v>
      </c>
      <c r="AD3" s="18">
        <v>12</v>
      </c>
      <c r="AE3" s="18">
        <v>12</v>
      </c>
      <c r="AF3" s="18">
        <v>12</v>
      </c>
      <c r="AG3" s="18">
        <v>8</v>
      </c>
      <c r="AH3" s="16">
        <v>12</v>
      </c>
      <c r="AI3" s="16">
        <v>12</v>
      </c>
    </row>
    <row r="4" spans="1:46" ht="15.75" customHeight="1" x14ac:dyDescent="0.25">
      <c r="B4" s="16">
        <v>14</v>
      </c>
      <c r="C4" s="16">
        <v>25</v>
      </c>
      <c r="D4" s="16">
        <v>19</v>
      </c>
      <c r="E4" s="16">
        <v>19</v>
      </c>
      <c r="G4" s="16">
        <v>40</v>
      </c>
      <c r="H4" s="16">
        <v>40</v>
      </c>
      <c r="I4" s="17">
        <v>22</v>
      </c>
      <c r="J4" s="16">
        <v>40</v>
      </c>
      <c r="K4" s="16">
        <v>40</v>
      </c>
      <c r="L4" s="19">
        <v>19</v>
      </c>
      <c r="N4" s="16">
        <v>14</v>
      </c>
      <c r="O4" s="16">
        <v>7</v>
      </c>
      <c r="P4" s="16">
        <v>40</v>
      </c>
      <c r="Q4" s="16">
        <v>40</v>
      </c>
      <c r="R4" s="16">
        <v>40</v>
      </c>
      <c r="S4" s="18">
        <v>14</v>
      </c>
      <c r="T4" s="16">
        <v>14</v>
      </c>
      <c r="U4" s="18">
        <v>14</v>
      </c>
      <c r="V4" s="18">
        <v>14</v>
      </c>
      <c r="W4" s="18">
        <v>17</v>
      </c>
      <c r="X4" s="16">
        <v>14</v>
      </c>
      <c r="Y4" s="18">
        <v>40</v>
      </c>
      <c r="Z4" s="18">
        <v>40</v>
      </c>
      <c r="AA4" s="18">
        <v>40</v>
      </c>
      <c r="AB4" s="18">
        <v>40</v>
      </c>
      <c r="AC4" s="18">
        <v>40</v>
      </c>
      <c r="AD4" s="18">
        <v>40</v>
      </c>
      <c r="AE4" s="18">
        <v>40</v>
      </c>
      <c r="AF4" s="18">
        <v>40</v>
      </c>
      <c r="AG4" s="16">
        <v>10</v>
      </c>
      <c r="AH4" s="16">
        <v>14</v>
      </c>
      <c r="AI4" s="16">
        <v>14</v>
      </c>
      <c r="AL4" s="20"/>
      <c r="AS4" s="16" t="s">
        <v>98</v>
      </c>
      <c r="AT4" s="16">
        <v>5.41</v>
      </c>
    </row>
    <row r="5" spans="1:46" ht="15.75" customHeight="1" x14ac:dyDescent="0.25">
      <c r="B5" s="16">
        <v>15</v>
      </c>
      <c r="C5" s="16">
        <v>22</v>
      </c>
      <c r="G5" s="16">
        <v>8</v>
      </c>
      <c r="H5" s="16">
        <v>8</v>
      </c>
      <c r="I5" s="16">
        <v>23</v>
      </c>
      <c r="J5" s="16">
        <v>8</v>
      </c>
      <c r="K5" s="16">
        <v>8</v>
      </c>
      <c r="L5" s="16">
        <v>20</v>
      </c>
      <c r="N5" s="16">
        <v>15</v>
      </c>
      <c r="O5" s="16">
        <v>10</v>
      </c>
      <c r="P5" s="16">
        <v>8</v>
      </c>
      <c r="Q5" s="16">
        <v>8</v>
      </c>
      <c r="R5" s="16">
        <v>8</v>
      </c>
      <c r="S5" s="18">
        <v>15</v>
      </c>
      <c r="T5" s="16">
        <v>15</v>
      </c>
      <c r="U5" s="18">
        <v>15</v>
      </c>
      <c r="V5" s="18">
        <v>15</v>
      </c>
      <c r="W5" s="18">
        <v>42</v>
      </c>
      <c r="X5" s="16">
        <v>15</v>
      </c>
      <c r="Y5" s="18">
        <v>8</v>
      </c>
      <c r="Z5" s="18">
        <v>8</v>
      </c>
      <c r="AA5" s="18">
        <v>8</v>
      </c>
      <c r="AB5" s="18">
        <v>8</v>
      </c>
      <c r="AC5" s="18">
        <v>8</v>
      </c>
      <c r="AD5" s="18">
        <v>8</v>
      </c>
      <c r="AE5" s="18">
        <v>8</v>
      </c>
      <c r="AF5" s="18">
        <v>8</v>
      </c>
      <c r="AG5" s="16">
        <v>13</v>
      </c>
      <c r="AH5" s="16">
        <v>15</v>
      </c>
      <c r="AI5" s="16">
        <v>15</v>
      </c>
      <c r="AL5" s="20"/>
      <c r="AS5" s="16" t="s">
        <v>99</v>
      </c>
      <c r="AT5" s="16">
        <v>6.67</v>
      </c>
    </row>
    <row r="6" spans="1:46" ht="15.75" customHeight="1" x14ac:dyDescent="0.25">
      <c r="B6" s="16">
        <v>10</v>
      </c>
      <c r="G6" s="16">
        <v>7</v>
      </c>
      <c r="H6" s="16">
        <v>7</v>
      </c>
      <c r="I6" s="16">
        <v>27</v>
      </c>
      <c r="J6" s="16">
        <v>6</v>
      </c>
      <c r="K6" s="16">
        <v>6</v>
      </c>
      <c r="L6" s="16">
        <v>25</v>
      </c>
      <c r="N6" s="16">
        <v>10</v>
      </c>
      <c r="O6" s="16">
        <v>15</v>
      </c>
      <c r="P6" s="16">
        <v>7</v>
      </c>
      <c r="Q6" s="16">
        <v>7</v>
      </c>
      <c r="R6" s="16">
        <v>7</v>
      </c>
      <c r="S6" s="18">
        <v>10</v>
      </c>
      <c r="T6" s="16">
        <v>10</v>
      </c>
      <c r="U6" s="18">
        <v>10</v>
      </c>
      <c r="V6" s="18">
        <v>10</v>
      </c>
      <c r="X6" s="16">
        <v>10</v>
      </c>
      <c r="Y6" s="18">
        <v>7</v>
      </c>
      <c r="Z6" s="18">
        <v>7</v>
      </c>
      <c r="AA6" s="18">
        <v>7</v>
      </c>
      <c r="AB6" s="18">
        <v>7</v>
      </c>
      <c r="AC6" s="16">
        <v>10</v>
      </c>
      <c r="AD6" s="16">
        <v>10</v>
      </c>
      <c r="AE6" s="16">
        <v>10</v>
      </c>
      <c r="AF6" s="16">
        <v>10</v>
      </c>
      <c r="AG6" s="16">
        <v>42</v>
      </c>
      <c r="AH6" s="16">
        <v>10</v>
      </c>
      <c r="AI6" s="16">
        <v>10</v>
      </c>
      <c r="AL6" s="20"/>
      <c r="AS6" s="16" t="s">
        <v>100</v>
      </c>
      <c r="AT6" s="16">
        <v>1</v>
      </c>
    </row>
    <row r="7" spans="1:46" ht="15.75" customHeight="1" x14ac:dyDescent="0.25">
      <c r="B7" s="16">
        <v>13</v>
      </c>
      <c r="G7" s="16">
        <v>11</v>
      </c>
      <c r="H7" s="16">
        <v>11</v>
      </c>
      <c r="I7" s="16">
        <v>26</v>
      </c>
      <c r="J7" s="16">
        <v>16</v>
      </c>
      <c r="K7" s="16">
        <v>7</v>
      </c>
      <c r="L7" s="17">
        <v>22</v>
      </c>
      <c r="N7" s="16">
        <v>13</v>
      </c>
      <c r="P7" s="16">
        <v>20</v>
      </c>
      <c r="Q7" s="16">
        <v>20</v>
      </c>
      <c r="R7" s="16">
        <v>20</v>
      </c>
      <c r="S7" s="18">
        <v>13</v>
      </c>
      <c r="T7" s="16">
        <v>13</v>
      </c>
      <c r="U7" s="18">
        <v>13</v>
      </c>
      <c r="V7" s="18">
        <v>13</v>
      </c>
      <c r="X7" s="16">
        <v>13</v>
      </c>
      <c r="Y7" s="18">
        <v>20</v>
      </c>
      <c r="Z7" s="18">
        <v>20</v>
      </c>
      <c r="AA7" s="18">
        <v>11</v>
      </c>
      <c r="AB7" s="18">
        <v>11</v>
      </c>
      <c r="AC7" s="16">
        <v>13</v>
      </c>
      <c r="AD7" s="16">
        <v>13</v>
      </c>
      <c r="AE7" s="16">
        <v>13</v>
      </c>
      <c r="AF7" s="16">
        <v>13</v>
      </c>
      <c r="AG7" s="16">
        <v>20</v>
      </c>
      <c r="AH7" s="16">
        <v>13</v>
      </c>
      <c r="AI7" s="16">
        <v>13</v>
      </c>
      <c r="AL7" s="20"/>
      <c r="AS7" s="16" t="s">
        <v>101</v>
      </c>
      <c r="AT7" s="16">
        <v>0.54</v>
      </c>
    </row>
    <row r="8" spans="1:46" ht="15.75" customHeight="1" x14ac:dyDescent="0.25">
      <c r="B8" s="16">
        <v>42</v>
      </c>
      <c r="G8" s="16">
        <v>25</v>
      </c>
      <c r="H8" s="16">
        <v>25</v>
      </c>
      <c r="J8" s="16">
        <v>25</v>
      </c>
      <c r="K8" s="16">
        <v>11</v>
      </c>
      <c r="L8" s="16">
        <v>26</v>
      </c>
      <c r="N8" s="16">
        <v>42</v>
      </c>
      <c r="P8" s="19">
        <v>19</v>
      </c>
      <c r="Q8" s="19">
        <v>19</v>
      </c>
      <c r="R8" s="19">
        <v>19</v>
      </c>
      <c r="S8" s="18">
        <v>42</v>
      </c>
      <c r="T8" s="16">
        <v>42</v>
      </c>
      <c r="U8" s="18">
        <v>42</v>
      </c>
      <c r="V8" s="18">
        <v>42</v>
      </c>
      <c r="X8" s="16">
        <v>42</v>
      </c>
      <c r="AA8" s="18">
        <v>25</v>
      </c>
      <c r="AC8" s="16">
        <v>42</v>
      </c>
      <c r="AD8" s="16">
        <v>42</v>
      </c>
      <c r="AE8" s="16">
        <v>42</v>
      </c>
      <c r="AF8" s="16">
        <v>42</v>
      </c>
      <c r="AH8" s="16">
        <v>42</v>
      </c>
      <c r="AI8" s="16">
        <v>42</v>
      </c>
      <c r="AL8" s="20"/>
      <c r="AT8" s="16">
        <f>SUM(AT4:AT7)</f>
        <v>13.620000000000001</v>
      </c>
    </row>
    <row r="9" spans="1:46" ht="15.75" customHeight="1" x14ac:dyDescent="0.25">
      <c r="B9" s="16">
        <v>20</v>
      </c>
      <c r="J9" s="16">
        <v>23</v>
      </c>
      <c r="N9" s="16">
        <v>20</v>
      </c>
      <c r="R9" s="16">
        <v>21</v>
      </c>
      <c r="S9" s="18">
        <v>20</v>
      </c>
      <c r="T9" s="16">
        <v>20</v>
      </c>
      <c r="U9" s="18">
        <v>20</v>
      </c>
      <c r="V9" s="18">
        <v>20</v>
      </c>
      <c r="X9" s="16">
        <v>20</v>
      </c>
      <c r="AA9" s="17">
        <v>22</v>
      </c>
      <c r="AC9" s="16">
        <v>20</v>
      </c>
      <c r="AD9" s="16">
        <v>20</v>
      </c>
      <c r="AE9" s="16">
        <v>20</v>
      </c>
      <c r="AF9" s="16">
        <v>20</v>
      </c>
      <c r="AH9" s="16">
        <v>20</v>
      </c>
      <c r="AI9" s="16">
        <v>20</v>
      </c>
      <c r="AL9" s="20"/>
    </row>
    <row r="10" spans="1:46" ht="15.75" customHeight="1" x14ac:dyDescent="0.25">
      <c r="J10" s="17">
        <v>22</v>
      </c>
      <c r="N10" s="16">
        <v>25</v>
      </c>
      <c r="S10" s="18">
        <v>21</v>
      </c>
      <c r="U10" s="19">
        <v>19</v>
      </c>
      <c r="AH10" s="16">
        <v>17</v>
      </c>
      <c r="AI10" s="16">
        <v>17</v>
      </c>
      <c r="AL10" s="20"/>
      <c r="AS10" s="16" t="s">
        <v>102</v>
      </c>
      <c r="AT10" s="16">
        <v>19.72</v>
      </c>
    </row>
    <row r="11" spans="1:46" ht="15.75" customHeight="1" x14ac:dyDescent="0.25">
      <c r="N11" s="17">
        <v>22</v>
      </c>
      <c r="S11" s="17">
        <v>22</v>
      </c>
      <c r="AH11" s="16">
        <v>18</v>
      </c>
      <c r="AL11" s="20"/>
      <c r="AS11" s="16" t="s">
        <v>103</v>
      </c>
      <c r="AT11" s="16">
        <v>0.51</v>
      </c>
    </row>
    <row r="12" spans="1:46" ht="15.75" customHeight="1" x14ac:dyDescent="0.25">
      <c r="O12" s="20"/>
      <c r="AH12" s="21">
        <v>5</v>
      </c>
      <c r="AL12" s="20"/>
      <c r="AS12" s="16" t="s">
        <v>104</v>
      </c>
      <c r="AT12" s="16">
        <v>1</v>
      </c>
    </row>
    <row r="13" spans="1:46" ht="15.75" customHeight="1" x14ac:dyDescent="0.25">
      <c r="O13" s="20"/>
      <c r="AL13" s="20"/>
      <c r="AT13" s="16">
        <f>SUM(AT10:AT12)</f>
        <v>21.23</v>
      </c>
    </row>
    <row r="14" spans="1:46" ht="15.75" customHeight="1" x14ac:dyDescent="0.25">
      <c r="O14" s="20"/>
      <c r="AL14" s="20"/>
      <c r="AM14" s="22">
        <v>19</v>
      </c>
      <c r="AN14" s="14">
        <v>22</v>
      </c>
      <c r="AO14" s="23" t="s">
        <v>105</v>
      </c>
    </row>
    <row r="15" spans="1:46" ht="15.75" customHeight="1" x14ac:dyDescent="0.25">
      <c r="O15" s="20"/>
      <c r="AK15" s="48" t="s">
        <v>113</v>
      </c>
      <c r="AL15" s="25" t="s">
        <v>114</v>
      </c>
      <c r="AM15" s="26">
        <v>6</v>
      </c>
      <c r="AN15" s="26">
        <v>7</v>
      </c>
      <c r="AO15" s="27">
        <v>3</v>
      </c>
    </row>
    <row r="16" spans="1:46" ht="15.75" customHeight="1" x14ac:dyDescent="0.25">
      <c r="O16" s="20"/>
      <c r="AK16" s="49"/>
      <c r="AL16" s="28" t="s">
        <v>115</v>
      </c>
      <c r="AM16" s="16">
        <v>2</v>
      </c>
      <c r="AN16" s="16">
        <v>2</v>
      </c>
      <c r="AO16" s="29">
        <v>2</v>
      </c>
    </row>
    <row r="17" spans="2:41" ht="15.75" customHeight="1" x14ac:dyDescent="0.25">
      <c r="B17" s="30"/>
      <c r="O17" s="20"/>
      <c r="AK17" s="49"/>
      <c r="AL17" s="31" t="s">
        <v>117</v>
      </c>
      <c r="AM17" s="32">
        <f>2142+2146+483+1530+269+1330</f>
        <v>7900</v>
      </c>
      <c r="AN17" s="32">
        <f>100+1700+2142+566+764+1021+6314</f>
        <v>12607</v>
      </c>
      <c r="AO17" s="33">
        <f>2146+483+1330</f>
        <v>3959</v>
      </c>
    </row>
    <row r="18" spans="2:41" ht="15.75" customHeight="1" x14ac:dyDescent="0.25">
      <c r="B18" s="30"/>
      <c r="O18" s="20"/>
      <c r="AK18" s="49"/>
      <c r="AL18" s="31" t="s">
        <v>123</v>
      </c>
      <c r="AM18" s="16">
        <f>19+29+9.5+24.5+4+20.5</f>
        <v>106.5</v>
      </c>
      <c r="AN18" s="16">
        <f>18+30+19+15+14.5+12+57</f>
        <v>165.5</v>
      </c>
      <c r="AO18" s="29">
        <f>29+9.5+20.5</f>
        <v>59</v>
      </c>
    </row>
    <row r="19" spans="2:41" ht="15.75" customHeight="1" x14ac:dyDescent="0.25">
      <c r="B19" s="30"/>
      <c r="O19" s="20"/>
      <c r="AK19" s="49"/>
      <c r="AL19" s="31" t="s">
        <v>124</v>
      </c>
      <c r="AM19" s="34">
        <f t="shared" ref="AM19:AO19" si="0">AM17/AM18</f>
        <v>74.178403755868544</v>
      </c>
      <c r="AN19" s="34">
        <f t="shared" si="0"/>
        <v>76.175226586102724</v>
      </c>
      <c r="AO19" s="35">
        <f t="shared" si="0"/>
        <v>67.101694915254242</v>
      </c>
    </row>
    <row r="20" spans="2:41" ht="15.75" customHeight="1" x14ac:dyDescent="0.25">
      <c r="B20" s="30"/>
      <c r="AK20" s="49"/>
      <c r="AL20" s="31" t="s">
        <v>125</v>
      </c>
      <c r="AM20" s="36">
        <f>9.5+4+20.5</f>
        <v>34</v>
      </c>
      <c r="AN20" s="36">
        <f>14.5+12</f>
        <v>26.5</v>
      </c>
      <c r="AO20" s="37">
        <f>9.5+20.5</f>
        <v>30</v>
      </c>
    </row>
    <row r="21" spans="2:41" ht="15.75" customHeight="1" x14ac:dyDescent="0.25">
      <c r="B21" s="30"/>
      <c r="AK21" s="49"/>
      <c r="AL21" s="31" t="s">
        <v>126</v>
      </c>
      <c r="AM21" s="36">
        <f>60/(60/60+60/20+60/20+60/30+60/30+60/30)</f>
        <v>4.615384615384615</v>
      </c>
      <c r="AN21" s="36">
        <f>60/(60/60+60/20+60/60+60/60+60/30+60/10+60/15)</f>
        <v>3.3333333333333335</v>
      </c>
      <c r="AO21" s="37">
        <f>60/(60/20+60/20+60/30)</f>
        <v>7.5</v>
      </c>
    </row>
    <row r="22" spans="2:41" ht="15.75" customHeight="1" x14ac:dyDescent="0.25">
      <c r="B22" s="30"/>
      <c r="AK22" s="50"/>
      <c r="AL22" s="31" t="s">
        <v>131</v>
      </c>
      <c r="AM22" s="36">
        <f>60/(60/60+60/60+60/20+60/50+60/60)</f>
        <v>8.3333333333333339</v>
      </c>
      <c r="AN22" s="36">
        <f>60/(60/60+60/45+60/60+60/60+0+0+60/20)</f>
        <v>8.1818181818181817</v>
      </c>
      <c r="AO22" s="37">
        <f>60/(60/60+0+60/60)</f>
        <v>30</v>
      </c>
    </row>
    <row r="23" spans="2:41" ht="15.75" customHeight="1" x14ac:dyDescent="0.25">
      <c r="B23" s="30"/>
      <c r="AK23" s="48" t="s">
        <v>133</v>
      </c>
      <c r="AL23" s="25" t="s">
        <v>137</v>
      </c>
      <c r="AM23" s="38">
        <v>36479</v>
      </c>
      <c r="AN23" s="38">
        <v>27650</v>
      </c>
      <c r="AO23" s="39" t="s">
        <v>68</v>
      </c>
    </row>
    <row r="24" spans="2:41" ht="15.75" customHeight="1" x14ac:dyDescent="0.25">
      <c r="B24" s="30"/>
      <c r="AK24" s="49"/>
      <c r="AL24" s="28" t="s">
        <v>141</v>
      </c>
      <c r="AM24" s="32">
        <v>39368</v>
      </c>
      <c r="AN24" s="32">
        <v>28433</v>
      </c>
      <c r="AO24" s="40" t="s">
        <v>68</v>
      </c>
    </row>
    <row r="25" spans="2:41" ht="15.75" customHeight="1" x14ac:dyDescent="0.25">
      <c r="B25" s="30"/>
      <c r="AK25" s="49"/>
      <c r="AL25" s="28" t="s">
        <v>143</v>
      </c>
      <c r="AM25" s="32">
        <v>37951</v>
      </c>
      <c r="AN25" s="32">
        <v>12179</v>
      </c>
      <c r="AO25" s="40" t="s">
        <v>68</v>
      </c>
    </row>
    <row r="26" spans="2:41" ht="15.75" customHeight="1" x14ac:dyDescent="0.25">
      <c r="B26" s="30"/>
      <c r="AK26" s="49"/>
      <c r="AL26" s="28" t="s">
        <v>144</v>
      </c>
      <c r="AM26" s="32">
        <v>38838</v>
      </c>
      <c r="AN26" s="32">
        <v>12793</v>
      </c>
      <c r="AO26" s="40" t="s">
        <v>68</v>
      </c>
    </row>
    <row r="27" spans="2:41" ht="15.75" customHeight="1" x14ac:dyDescent="0.25">
      <c r="B27" s="30"/>
      <c r="AK27" s="49"/>
      <c r="AL27" s="28" t="s">
        <v>145</v>
      </c>
      <c r="AM27" s="32">
        <f t="shared" ref="AM27:AN27" si="1">SUM(AM23,AM25)</f>
        <v>74430</v>
      </c>
      <c r="AN27" s="32">
        <f t="shared" si="1"/>
        <v>39829</v>
      </c>
      <c r="AO27" s="40" t="s">
        <v>68</v>
      </c>
    </row>
    <row r="28" spans="2:41" ht="15.75" customHeight="1" x14ac:dyDescent="0.25">
      <c r="B28" s="30"/>
      <c r="AK28" s="49"/>
      <c r="AL28" s="28" t="s">
        <v>148</v>
      </c>
      <c r="AM28" s="32">
        <f t="shared" ref="AM28:AN28" si="2">SUM(AM24,AM26)</f>
        <v>78206</v>
      </c>
      <c r="AN28" s="32">
        <f t="shared" si="2"/>
        <v>41226</v>
      </c>
      <c r="AO28" s="40" t="s">
        <v>68</v>
      </c>
    </row>
    <row r="29" spans="2:41" ht="15.75" customHeight="1" x14ac:dyDescent="0.25">
      <c r="B29" s="30"/>
      <c r="AK29" s="49"/>
      <c r="AL29" s="28" t="s">
        <v>149</v>
      </c>
      <c r="AM29" s="16">
        <v>21.23</v>
      </c>
      <c r="AN29" s="34">
        <v>13.62</v>
      </c>
      <c r="AO29" s="40" t="s">
        <v>68</v>
      </c>
    </row>
    <row r="30" spans="2:41" ht="15.75" customHeight="1" x14ac:dyDescent="0.25">
      <c r="B30" s="30"/>
      <c r="AK30" s="49"/>
      <c r="AL30" s="28" t="s">
        <v>150</v>
      </c>
      <c r="AM30" s="32">
        <f t="shared" ref="AM30:AN30" si="3">AM23/AM29</f>
        <v>1718.276024493641</v>
      </c>
      <c r="AN30" s="32">
        <f t="shared" si="3"/>
        <v>2030.1027900146844</v>
      </c>
      <c r="AO30" s="40" t="s">
        <v>68</v>
      </c>
    </row>
    <row r="31" spans="2:41" ht="15.75" customHeight="1" x14ac:dyDescent="0.25">
      <c r="B31" s="30"/>
      <c r="AK31" s="50"/>
      <c r="AL31" s="41" t="s">
        <v>151</v>
      </c>
      <c r="AM31" s="42">
        <f t="shared" ref="AM31:AN31" si="4">AM25/AM29</f>
        <v>1787.6118699952897</v>
      </c>
      <c r="AN31" s="42">
        <f t="shared" si="4"/>
        <v>894.19970631424383</v>
      </c>
      <c r="AO31" s="43" t="s">
        <v>68</v>
      </c>
    </row>
    <row r="32" spans="2:41" ht="15.75" customHeight="1" x14ac:dyDescent="0.25">
      <c r="B32" s="30"/>
      <c r="AL32" s="20"/>
      <c r="AM32" s="32"/>
      <c r="AN32" s="32"/>
      <c r="AO32" s="32"/>
    </row>
    <row r="33" spans="2:41" ht="15.75" customHeight="1" x14ac:dyDescent="0.25">
      <c r="B33" s="30"/>
      <c r="AL33" s="20"/>
    </row>
    <row r="34" spans="2:41" ht="15.75" customHeight="1" x14ac:dyDescent="0.25">
      <c r="B34" s="30"/>
      <c r="AL34" s="20"/>
    </row>
    <row r="35" spans="2:41" ht="15.75" customHeight="1" x14ac:dyDescent="0.25">
      <c r="B35" s="30"/>
      <c r="AL35" s="20"/>
      <c r="AM35" s="36"/>
      <c r="AN35" s="36"/>
      <c r="AO35" s="36"/>
    </row>
    <row r="36" spans="2:41" ht="15.75" customHeight="1" x14ac:dyDescent="0.25">
      <c r="B36" s="30"/>
      <c r="AL36" s="20"/>
      <c r="AM36" s="36"/>
      <c r="AN36" s="36"/>
      <c r="AO36" s="36"/>
    </row>
    <row r="37" spans="2:41" ht="15.75" customHeight="1" x14ac:dyDescent="0.25">
      <c r="B37" s="30"/>
      <c r="AL37" s="20"/>
    </row>
    <row r="38" spans="2:41" ht="15.75" customHeight="1" x14ac:dyDescent="0.25">
      <c r="B38" s="30"/>
      <c r="AL38" s="20"/>
    </row>
    <row r="39" spans="2:41" ht="15.75" customHeight="1" x14ac:dyDescent="0.25">
      <c r="B39" s="30"/>
      <c r="AL39" s="20"/>
    </row>
    <row r="40" spans="2:41" ht="15.75" customHeight="1" x14ac:dyDescent="0.25">
      <c r="B40" s="30"/>
      <c r="AL40" s="20"/>
    </row>
    <row r="41" spans="2:41" ht="15.75" customHeight="1" x14ac:dyDescent="0.25">
      <c r="B41" s="30"/>
      <c r="AL41" s="20"/>
    </row>
    <row r="42" spans="2:41" ht="15.75" customHeight="1" x14ac:dyDescent="0.25">
      <c r="B42" s="30"/>
      <c r="AL42" s="20"/>
    </row>
    <row r="43" spans="2:41" ht="15.75" customHeight="1" x14ac:dyDescent="0.25">
      <c r="B43" s="30"/>
    </row>
    <row r="44" spans="2:41" ht="15.75" customHeight="1" x14ac:dyDescent="0.25">
      <c r="B44" s="30"/>
    </row>
    <row r="45" spans="2:41" ht="15.75" customHeight="1" x14ac:dyDescent="0.25">
      <c r="B45" s="30"/>
    </row>
    <row r="46" spans="2:41" ht="15.75" customHeight="1" x14ac:dyDescent="0.2"/>
    <row r="47" spans="2:41" ht="15.75" customHeight="1" x14ac:dyDescent="0.2"/>
    <row r="48" spans="2:4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K15:AK22"/>
    <mergeCell ref="AK23:AK3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Alts-Districts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Bonnie Fan</cp:lastModifiedBy>
  <dcterms:created xsi:type="dcterms:W3CDTF">2020-04-14T06:08:41Z</dcterms:created>
  <dcterms:modified xsi:type="dcterms:W3CDTF">2020-05-07T03:44:15Z</dcterms:modified>
</cp:coreProperties>
</file>