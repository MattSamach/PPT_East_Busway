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tty_sam/Dropbox/Documents/CMU/Classes/Spring 2020/Systems/git/PPT_East_Busway/Data/Route Adjustments/"/>
    </mc:Choice>
  </mc:AlternateContent>
  <xr:revisionPtr revIDLastSave="0" documentId="13_ncr:1_{73D95E51-48D8-7342-BCAB-3594B6117F91}" xr6:coauthVersionLast="45" xr6:coauthVersionMax="45" xr10:uidLastSave="{00000000-0000-0000-0000-000000000000}"/>
  <bookViews>
    <workbookView xWindow="240" yWindow="460" windowWidth="25000" windowHeight="18300" activeTab="1" xr2:uid="{00000000-000D-0000-FFFF-FFFF00000000}"/>
  </bookViews>
  <sheets>
    <sheet name="Original" sheetId="1" r:id="rId1"/>
    <sheet name="Original (RT)" sheetId="5" r:id="rId2"/>
    <sheet name="Extended" sheetId="2" r:id="rId3"/>
    <sheet name="Extended (Modified)" sheetId="4" r:id="rId4"/>
    <sheet name="PV Methods" sheetId="3" r:id="rId5"/>
  </sheets>
  <definedNames>
    <definedName name="_xlnm._FilterDatabase" localSheetId="0" hidden="1">Original!$B$1:$E$41</definedName>
    <definedName name="_xlnm._FilterDatabase" localSheetId="1" hidden="1">'Original (RT)'!$B$2:$E$42</definedName>
    <definedName name="_xlnm._FilterDatabase" localSheetId="4" hidden="1">'PV Methods'!$B$1:$E$41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" i="5" l="1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3" i="2"/>
  <c r="F2" i="2"/>
  <c r="F40" i="2"/>
  <c r="F38" i="2"/>
  <c r="F36" i="2"/>
  <c r="F34" i="2"/>
  <c r="F33" i="2"/>
  <c r="F31" i="2"/>
  <c r="F29" i="2"/>
  <c r="F28" i="2"/>
  <c r="F27" i="2"/>
  <c r="F25" i="2"/>
  <c r="F23" i="2"/>
  <c r="F20" i="2"/>
  <c r="F18" i="2"/>
  <c r="F16" i="2"/>
  <c r="F14" i="2"/>
  <c r="F12" i="2"/>
  <c r="F10" i="2"/>
  <c r="F8" i="2"/>
  <c r="F6" i="2"/>
  <c r="F4" i="2"/>
  <c r="F41" i="2"/>
  <c r="F39" i="2"/>
  <c r="F37" i="2"/>
  <c r="F35" i="2"/>
  <c r="F32" i="2"/>
  <c r="F30" i="2"/>
  <c r="F26" i="2"/>
  <c r="F24" i="2"/>
  <c r="F22" i="2"/>
  <c r="F21" i="2"/>
  <c r="F19" i="2"/>
  <c r="F17" i="2"/>
  <c r="F15" i="2"/>
  <c r="F13" i="2"/>
  <c r="F11" i="2"/>
  <c r="F9" i="2"/>
  <c r="F7" i="2"/>
  <c r="F5" i="2"/>
  <c r="I41" i="3"/>
  <c r="H41" i="3"/>
  <c r="G41" i="3"/>
  <c r="F41" i="3"/>
  <c r="I40" i="3"/>
  <c r="H40" i="3"/>
  <c r="G40" i="3"/>
  <c r="F40" i="3"/>
  <c r="I39" i="3"/>
  <c r="H39" i="3"/>
  <c r="G39" i="3"/>
  <c r="F39" i="3"/>
  <c r="I38" i="3"/>
  <c r="H38" i="3"/>
  <c r="G38" i="3"/>
  <c r="F38" i="3"/>
  <c r="I37" i="3"/>
  <c r="H37" i="3"/>
  <c r="G37" i="3"/>
  <c r="F37" i="3"/>
  <c r="I36" i="3"/>
  <c r="H36" i="3"/>
  <c r="G36" i="3"/>
  <c r="F36" i="3"/>
  <c r="I35" i="3"/>
  <c r="H35" i="3"/>
  <c r="G35" i="3"/>
  <c r="F35" i="3"/>
  <c r="I34" i="3"/>
  <c r="H34" i="3"/>
  <c r="G34" i="3"/>
  <c r="F34" i="3"/>
  <c r="I33" i="3"/>
  <c r="H33" i="3"/>
  <c r="G33" i="3"/>
  <c r="F33" i="3"/>
  <c r="I32" i="3"/>
  <c r="H32" i="3"/>
  <c r="G32" i="3"/>
  <c r="F32" i="3"/>
  <c r="I31" i="3"/>
  <c r="H31" i="3"/>
  <c r="G31" i="3"/>
  <c r="F31" i="3"/>
  <c r="I30" i="3"/>
  <c r="H30" i="3"/>
  <c r="G30" i="3"/>
  <c r="F30" i="3"/>
  <c r="I29" i="3"/>
  <c r="H29" i="3"/>
  <c r="G29" i="3"/>
  <c r="F29" i="3"/>
  <c r="I28" i="3"/>
  <c r="H28" i="3"/>
  <c r="G28" i="3"/>
  <c r="F28" i="3"/>
  <c r="I27" i="3"/>
  <c r="H27" i="3"/>
  <c r="G27" i="3"/>
  <c r="F27" i="3"/>
  <c r="I26" i="3"/>
  <c r="H26" i="3"/>
  <c r="G26" i="3"/>
  <c r="F26" i="3"/>
  <c r="I25" i="3"/>
  <c r="H25" i="3"/>
  <c r="G25" i="3"/>
  <c r="F25" i="3"/>
  <c r="I24" i="3"/>
  <c r="H24" i="3"/>
  <c r="G24" i="3"/>
  <c r="F24" i="3"/>
  <c r="I23" i="3"/>
  <c r="H23" i="3"/>
  <c r="G23" i="3"/>
  <c r="F23" i="3"/>
  <c r="I22" i="3"/>
  <c r="H22" i="3"/>
  <c r="G22" i="3"/>
  <c r="F22" i="3"/>
  <c r="I21" i="3"/>
  <c r="H21" i="3"/>
  <c r="G21" i="3"/>
  <c r="F21" i="3"/>
  <c r="I20" i="3"/>
  <c r="H20" i="3"/>
  <c r="G20" i="3"/>
  <c r="F20" i="3"/>
  <c r="I19" i="3"/>
  <c r="H19" i="3"/>
  <c r="G19" i="3"/>
  <c r="F19" i="3"/>
  <c r="I18" i="3"/>
  <c r="H18" i="3"/>
  <c r="G18" i="3"/>
  <c r="F18" i="3"/>
  <c r="I17" i="3"/>
  <c r="H17" i="3"/>
  <c r="G17" i="3"/>
  <c r="F17" i="3"/>
  <c r="I16" i="3"/>
  <c r="H16" i="3"/>
  <c r="G16" i="3"/>
  <c r="F16" i="3"/>
  <c r="I15" i="3"/>
  <c r="H15" i="3"/>
  <c r="G15" i="3"/>
  <c r="F15" i="3"/>
  <c r="I14" i="3"/>
  <c r="H14" i="3"/>
  <c r="G14" i="3"/>
  <c r="F14" i="3"/>
  <c r="I13" i="3"/>
  <c r="H13" i="3"/>
  <c r="G13" i="3"/>
  <c r="F13" i="3"/>
  <c r="I12" i="3"/>
  <c r="H12" i="3"/>
  <c r="G12" i="3"/>
  <c r="F12" i="3"/>
  <c r="I11" i="3"/>
  <c r="H11" i="3"/>
  <c r="G11" i="3"/>
  <c r="F11" i="3"/>
  <c r="I10" i="3"/>
  <c r="H10" i="3"/>
  <c r="G10" i="3"/>
  <c r="F10" i="3"/>
  <c r="I9" i="3"/>
  <c r="H9" i="3"/>
  <c r="G9" i="3"/>
  <c r="F9" i="3"/>
  <c r="I8" i="3"/>
  <c r="H8" i="3"/>
  <c r="G8" i="3"/>
  <c r="F8" i="3"/>
  <c r="I7" i="3"/>
  <c r="H7" i="3"/>
  <c r="G7" i="3"/>
  <c r="F7" i="3"/>
  <c r="I6" i="3"/>
  <c r="H6" i="3"/>
  <c r="G6" i="3"/>
  <c r="F6" i="3"/>
  <c r="I5" i="3"/>
  <c r="H5" i="3"/>
  <c r="G5" i="3"/>
  <c r="F5" i="3"/>
  <c r="I4" i="3"/>
  <c r="H4" i="3"/>
  <c r="G4" i="3"/>
  <c r="F4" i="3"/>
  <c r="I3" i="3"/>
  <c r="H3" i="3"/>
  <c r="G3" i="3"/>
  <c r="F3" i="3"/>
  <c r="L4" i="3" s="1"/>
  <c r="I2" i="3"/>
  <c r="H2" i="3"/>
  <c r="G2" i="3"/>
  <c r="L5" i="3" s="1"/>
  <c r="F2" i="3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N3" i="5" l="1"/>
  <c r="I2" i="4"/>
  <c r="I2" i="2"/>
  <c r="I2" i="1"/>
  <c r="L7" i="3"/>
  <c r="L6" i="3"/>
</calcChain>
</file>

<file path=xl/sharedStrings.xml><?xml version="1.0" encoding="utf-8"?>
<sst xmlns="http://schemas.openxmlformats.org/spreadsheetml/2006/main" count="445" uniqueCount="58">
  <si>
    <t>Trip</t>
  </si>
  <si>
    <t>Beginning</t>
  </si>
  <si>
    <t>End</t>
  </si>
  <si>
    <t>Direction</t>
  </si>
  <si>
    <t>11022-1579400</t>
  </si>
  <si>
    <t>11023-1579403</t>
  </si>
  <si>
    <t>11024-1579397</t>
  </si>
  <si>
    <t>11025-1579262</t>
  </si>
  <si>
    <t>11026-1579400</t>
  </si>
  <si>
    <t>11028-1579404</t>
  </si>
  <si>
    <t>11029-1579262</t>
  </si>
  <si>
    <t>11030-1579404</t>
  </si>
  <si>
    <t>11031-1579542</t>
  </si>
  <si>
    <t>11032-1579267</t>
  </si>
  <si>
    <t>11033-1579405</t>
  </si>
  <si>
    <t>11034-1579291</t>
  </si>
  <si>
    <t>11035-1579407</t>
  </si>
  <si>
    <t>11036-1579405</t>
  </si>
  <si>
    <t>11037-1579264</t>
  </si>
  <si>
    <t>11039-1579310</t>
  </si>
  <si>
    <t>11041-1579704</t>
  </si>
  <si>
    <t>11043-1579310</t>
  </si>
  <si>
    <t>11044-1579704</t>
  </si>
  <si>
    <t>11045-1579310</t>
  </si>
  <si>
    <t>8012-1579400</t>
  </si>
  <si>
    <t>8020-1579404</t>
  </si>
  <si>
    <t>8029-1579403</t>
  </si>
  <si>
    <t>8063-1579262</t>
  </si>
  <si>
    <t>8092-1579404</t>
  </si>
  <si>
    <t>8104-1579542</t>
  </si>
  <si>
    <t>8113-1579267</t>
  </si>
  <si>
    <t>8122-1579405</t>
  </si>
  <si>
    <t>8131-1579407</t>
  </si>
  <si>
    <t>8141-1579405</t>
  </si>
  <si>
    <t>8151-1579264</t>
  </si>
  <si>
    <t>8161-1579407</t>
  </si>
  <si>
    <t>8172-1579310</t>
  </si>
  <si>
    <t>8185-1579405</t>
  </si>
  <si>
    <t>8200-1579704</t>
  </si>
  <si>
    <t>8214-1579264</t>
  </si>
  <si>
    <t>8226-1579310</t>
  </si>
  <si>
    <t>8236-1579704</t>
  </si>
  <si>
    <t>8244-1579310</t>
  </si>
  <si>
    <t>8251-1579704</t>
  </si>
  <si>
    <t>Inbound</t>
  </si>
  <si>
    <t>Outbound</t>
  </si>
  <si>
    <t>Overlap Method (&lt;)</t>
  </si>
  <si>
    <t>Overlap Method (&lt;=)</t>
  </si>
  <si>
    <t>PV</t>
  </si>
  <si>
    <t>Python_Method (&lt; new)</t>
  </si>
  <si>
    <t>Python_Method (&lt;= old)</t>
  </si>
  <si>
    <t>Python Method (&lt;)</t>
  </si>
  <si>
    <t>Python Method (&lt;=)</t>
  </si>
  <si>
    <t>In Use Vehicles</t>
  </si>
  <si>
    <t>Peak Vehicle</t>
  </si>
  <si>
    <t>Leg 1</t>
  </si>
  <si>
    <t>Leg 2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</si>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</sst>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0" fontId="1" fillId="2" borderId="2" xfId="0" applyFont="1" applyFill="1" applyBorder="1" applyAlignment="1">
      <alignment horizontal="center" vertical="top"/>
    </xf>
    <xf numFmtId="164" fontId="0" fillId="0" borderId="0" xfId="0" applyNumberFormat="1"/>
    <xf numFmtId="164" fontId="0" fillId="3" borderId="0" xfId="0" applyNumberFormat="1" applyFill="1"/>
    <xf numFmtId="0" fontId="0" fillId="0" borderId="0" xfId="0" applyNumberFormat="1"/>
    <xf numFmtId="0" fontId="0" fillId="4" borderId="0" xfId="0" applyFill="1"/>
    <xf numFmtId="164" fontId="0" fillId="4" borderId="0" xfId="0" applyNumberFormat="1" applyFill="1"/>
    <xf numFmtId="164" fontId="1" fillId="0" borderId="0" xfId="0" applyNumberFormat="1" applyFont="1"/>
    <xf numFmtId="0" fontId="0" fillId="0" borderId="0" xfId="0" applyBorder="1"/>
    <xf numFmtId="164" fontId="0" fillId="0" borderId="0" xfId="0" applyNumberFormat="1" applyBorder="1"/>
    <xf numFmtId="0" fontId="0" fillId="0" borderId="2" xfId="0" applyBorder="1"/>
    <xf numFmtId="0" fontId="0" fillId="3" borderId="0" xfId="0" applyFill="1" applyBorder="1"/>
    <xf numFmtId="164" fontId="0" fillId="3" borderId="0" xfId="0" applyNumberFormat="1" applyFill="1" applyBorder="1"/>
    <xf numFmtId="0" fontId="0" fillId="3" borderId="2" xfId="0" applyFill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5" borderId="2" xfId="0" applyFont="1" applyFill="1" applyBorder="1" applyAlignment="1">
      <alignment horizontal="center" vertical="top"/>
    </xf>
    <xf numFmtId="0" fontId="0" fillId="6" borderId="0" xfId="0" applyFill="1"/>
    <xf numFmtId="164" fontId="0" fillId="6" borderId="0" xfId="0" applyNumberFormat="1" applyFill="1"/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workbookViewId="0">
      <selection activeCell="H2" sqref="H2:I2"/>
    </sheetView>
  </sheetViews>
  <sheetFormatPr baseColWidth="10" defaultColWidth="8.83203125" defaultRowHeight="15" x14ac:dyDescent="0.2"/>
  <cols>
    <col min="2" max="2" width="13.6640625" bestFit="1" customWidth="1"/>
    <col min="3" max="4" width="11" bestFit="1" customWidth="1"/>
    <col min="5" max="5" width="9" bestFit="1" customWidth="1"/>
    <col min="6" max="6" width="20.5" bestFit="1" customWidth="1"/>
    <col min="7" max="7" width="11" bestFit="1" customWidth="1"/>
    <col min="8" max="8" width="16.6640625" bestFit="1" customWidth="1"/>
  </cols>
  <sheetData>
    <row r="1" spans="1:9" x14ac:dyDescent="0.2">
      <c r="B1" s="1" t="s">
        <v>0</v>
      </c>
      <c r="C1" s="1" t="s">
        <v>1</v>
      </c>
      <c r="D1" s="1" t="s">
        <v>2</v>
      </c>
      <c r="E1" s="1" t="s">
        <v>3</v>
      </c>
      <c r="F1" s="3" t="s">
        <v>53</v>
      </c>
    </row>
    <row r="2" spans="1:9" x14ac:dyDescent="0.2">
      <c r="A2">
        <v>1</v>
      </c>
      <c r="B2" t="s">
        <v>4</v>
      </c>
      <c r="C2" s="4">
        <v>0.23541666666666669</v>
      </c>
      <c r="D2" s="4">
        <v>0.27638888888888885</v>
      </c>
      <c r="E2" t="s">
        <v>44</v>
      </c>
      <c r="F2">
        <f ca="1">COUNTIF(OFFSET($C$1,A2,0,41-A2,1), "&lt;"&amp;D2)</f>
        <v>2</v>
      </c>
      <c r="G2" s="6"/>
      <c r="H2" s="9" t="s">
        <v>54</v>
      </c>
      <c r="I2">
        <f ca="1">MAX(F2:F41)</f>
        <v>5</v>
      </c>
    </row>
    <row r="3" spans="1:9" x14ac:dyDescent="0.2">
      <c r="A3" s="2">
        <v>2</v>
      </c>
      <c r="B3" s="2" t="s">
        <v>5</v>
      </c>
      <c r="C3" s="5">
        <v>0.25972222222222224</v>
      </c>
      <c r="D3" s="5">
        <v>0.30069444444444443</v>
      </c>
      <c r="E3" s="2" t="s">
        <v>44</v>
      </c>
      <c r="F3">
        <f ca="1">COUNTIF(OFFSET($C$1,A3,0,41-A3,1), "&lt;"&amp;D3)</f>
        <v>4</v>
      </c>
      <c r="G3" s="4"/>
      <c r="H3" s="9"/>
    </row>
    <row r="4" spans="1:9" x14ac:dyDescent="0.2">
      <c r="A4">
        <v>3</v>
      </c>
      <c r="B4" t="s">
        <v>24</v>
      </c>
      <c r="C4" s="4">
        <v>0.27638888888888885</v>
      </c>
      <c r="D4" s="4">
        <v>0.31805555555555554</v>
      </c>
      <c r="E4" t="s">
        <v>45</v>
      </c>
      <c r="F4">
        <f ca="1">COUNTIF(OFFSET($C$1,A4,0,41-A4,1), "&lt;"&amp;D4)</f>
        <v>5</v>
      </c>
      <c r="G4" s="4"/>
      <c r="H4" s="6"/>
    </row>
    <row r="5" spans="1:9" x14ac:dyDescent="0.2">
      <c r="A5" s="2">
        <v>4</v>
      </c>
      <c r="B5" s="2" t="s">
        <v>6</v>
      </c>
      <c r="C5" s="5">
        <v>0.28055555555555556</v>
      </c>
      <c r="D5" s="5">
        <v>0.3215277777777778</v>
      </c>
      <c r="E5" s="2" t="s">
        <v>44</v>
      </c>
      <c r="F5">
        <f ca="1">COUNTIF(OFFSET($C$1,A5,0,41-A5,1), "&lt;"&amp;D5)</f>
        <v>4</v>
      </c>
      <c r="G5" s="4"/>
    </row>
    <row r="6" spans="1:9" x14ac:dyDescent="0.2">
      <c r="A6">
        <v>5</v>
      </c>
      <c r="B6" t="s">
        <v>25</v>
      </c>
      <c r="C6" s="4">
        <v>0.2902777777777778</v>
      </c>
      <c r="D6" s="4">
        <v>0.33194444444444443</v>
      </c>
      <c r="E6" t="s">
        <v>45</v>
      </c>
      <c r="F6">
        <f ca="1">COUNTIF(OFFSET($C$1,A6,0,41-A6,1), "&lt;"&amp;D6)</f>
        <v>4</v>
      </c>
      <c r="G6" s="4"/>
    </row>
    <row r="7" spans="1:9" x14ac:dyDescent="0.2">
      <c r="A7" s="2">
        <v>6</v>
      </c>
      <c r="B7" s="2" t="s">
        <v>7</v>
      </c>
      <c r="C7" s="5">
        <v>0.30069444444444443</v>
      </c>
      <c r="D7" s="5">
        <v>0.34236111111111112</v>
      </c>
      <c r="E7" s="2" t="s">
        <v>44</v>
      </c>
      <c r="F7">
        <f ca="1">COUNTIF(OFFSET($C$1,A7,0,41-A7,1), "&lt;"&amp;D7)</f>
        <v>3</v>
      </c>
      <c r="G7" s="4"/>
    </row>
    <row r="8" spans="1:9" x14ac:dyDescent="0.2">
      <c r="A8">
        <v>7</v>
      </c>
      <c r="B8" t="s">
        <v>26</v>
      </c>
      <c r="C8" s="4">
        <v>0.30069444444444443</v>
      </c>
      <c r="D8" s="4">
        <v>0.34236111111111112</v>
      </c>
      <c r="E8" t="s">
        <v>45</v>
      </c>
      <c r="F8">
        <f ca="1">COUNTIF(OFFSET($C$1,A8,0,41-A8,1), "&lt;"&amp;D8)</f>
        <v>2</v>
      </c>
      <c r="G8" s="4"/>
      <c r="H8" s="4"/>
    </row>
    <row r="9" spans="1:9" x14ac:dyDescent="0.2">
      <c r="A9" s="2">
        <v>8</v>
      </c>
      <c r="B9" s="2" t="s">
        <v>8</v>
      </c>
      <c r="C9" s="5">
        <v>0.32500000000000001</v>
      </c>
      <c r="D9" s="5">
        <v>0.3666666666666667</v>
      </c>
      <c r="E9" s="2" t="s">
        <v>44</v>
      </c>
      <c r="F9">
        <f ca="1">COUNTIF(OFFSET($C$1,A9,0,41-A9,1), "&lt;"&amp;D9)</f>
        <v>3</v>
      </c>
      <c r="G9" s="4"/>
      <c r="H9" s="4"/>
    </row>
    <row r="10" spans="1:9" x14ac:dyDescent="0.2">
      <c r="A10">
        <v>9</v>
      </c>
      <c r="B10" t="s">
        <v>27</v>
      </c>
      <c r="C10" s="4">
        <v>0.34236111111111112</v>
      </c>
      <c r="D10" s="4">
        <v>0.3840277777777778</v>
      </c>
      <c r="E10" t="s">
        <v>45</v>
      </c>
      <c r="F10">
        <f ca="1">COUNTIF(OFFSET($C$1,A10,0,41-A10,1), "&lt;"&amp;D10)</f>
        <v>2</v>
      </c>
      <c r="G10" s="4"/>
      <c r="H10" s="4"/>
    </row>
    <row r="11" spans="1:9" x14ac:dyDescent="0.2">
      <c r="A11" s="2">
        <v>10</v>
      </c>
      <c r="B11" s="2" t="s">
        <v>9</v>
      </c>
      <c r="C11" s="5">
        <v>0.34583333333333338</v>
      </c>
      <c r="D11" s="5">
        <v>0.38750000000000001</v>
      </c>
      <c r="E11" s="2" t="s">
        <v>44</v>
      </c>
      <c r="F11">
        <f ca="1">COUNTIF(OFFSET($C$1,A11,0,41-A11,1), "&lt;"&amp;D11)</f>
        <v>1</v>
      </c>
      <c r="G11" s="4"/>
      <c r="H11" s="4"/>
    </row>
    <row r="12" spans="1:9" x14ac:dyDescent="0.2">
      <c r="A12">
        <v>11</v>
      </c>
      <c r="B12" t="s">
        <v>28</v>
      </c>
      <c r="C12" s="4">
        <v>0.38750000000000001</v>
      </c>
      <c r="D12" s="4">
        <v>0.4291666666666667</v>
      </c>
      <c r="E12" t="s">
        <v>45</v>
      </c>
      <c r="F12">
        <f ca="1">COUNTIF(OFFSET($C$1,A12,0,41-A12,1), "&lt;"&amp;D12)</f>
        <v>2</v>
      </c>
      <c r="G12" s="4"/>
      <c r="H12" s="4"/>
    </row>
    <row r="13" spans="1:9" x14ac:dyDescent="0.2">
      <c r="A13" s="2">
        <v>12</v>
      </c>
      <c r="B13" s="2" t="s">
        <v>10</v>
      </c>
      <c r="C13" s="5">
        <v>0.39583333333333331</v>
      </c>
      <c r="D13" s="5">
        <v>0.43472222222222223</v>
      </c>
      <c r="E13" s="2" t="s">
        <v>44</v>
      </c>
      <c r="F13">
        <f ca="1">COUNTIF(OFFSET($C$1,A13,0,41-A13,1), "&lt;"&amp;D13)</f>
        <v>2</v>
      </c>
      <c r="G13" s="4"/>
      <c r="H13" s="4"/>
    </row>
    <row r="14" spans="1:9" x14ac:dyDescent="0.2">
      <c r="A14">
        <v>13</v>
      </c>
      <c r="B14" t="s">
        <v>29</v>
      </c>
      <c r="C14" s="4">
        <v>0.42986111111111108</v>
      </c>
      <c r="D14" s="4">
        <v>0.47222222222222227</v>
      </c>
      <c r="E14" t="s">
        <v>45</v>
      </c>
      <c r="F14">
        <f ca="1">COUNTIF(OFFSET($C$1,A14,0,41-A14,1), "&lt;"&amp;D14)</f>
        <v>3</v>
      </c>
      <c r="G14" s="4"/>
      <c r="H14" s="4"/>
    </row>
    <row r="15" spans="1:9" x14ac:dyDescent="0.2">
      <c r="A15" s="2">
        <v>14</v>
      </c>
      <c r="B15" s="2" t="s">
        <v>11</v>
      </c>
      <c r="C15" s="5">
        <v>0.4375</v>
      </c>
      <c r="D15" s="5">
        <v>0.47638888888888892</v>
      </c>
      <c r="E15" s="2" t="s">
        <v>44</v>
      </c>
      <c r="F15">
        <f ca="1">COUNTIF(OFFSET($C$1,A15,0,41-A15,1), "&lt;"&amp;D15)</f>
        <v>2</v>
      </c>
      <c r="G15" s="4"/>
      <c r="H15" s="4"/>
    </row>
    <row r="16" spans="1:9" x14ac:dyDescent="0.2">
      <c r="A16">
        <v>15</v>
      </c>
      <c r="B16" t="s">
        <v>30</v>
      </c>
      <c r="C16" s="4">
        <v>0.47152777777777777</v>
      </c>
      <c r="D16" s="4">
        <v>0.51388888888888895</v>
      </c>
      <c r="E16" t="s">
        <v>45</v>
      </c>
      <c r="F16">
        <f ca="1">COUNTIF(OFFSET($C$1,A16,0,41-A16,1), "&lt;"&amp;D16)</f>
        <v>3</v>
      </c>
      <c r="G16" s="4"/>
      <c r="H16" s="4"/>
    </row>
    <row r="17" spans="1:8" x14ac:dyDescent="0.2">
      <c r="A17" s="2">
        <v>16</v>
      </c>
      <c r="B17" s="2" t="s">
        <v>12</v>
      </c>
      <c r="C17" s="5">
        <v>0.47916666666666669</v>
      </c>
      <c r="D17" s="5">
        <v>0.5180555555555556</v>
      </c>
      <c r="E17" s="2" t="s">
        <v>44</v>
      </c>
      <c r="F17">
        <f ca="1">COUNTIF(OFFSET($C$1,A17,0,41-A17,1), "&lt;"&amp;D17)</f>
        <v>2</v>
      </c>
      <c r="G17" s="4"/>
      <c r="H17" s="4"/>
    </row>
    <row r="18" spans="1:8" x14ac:dyDescent="0.2">
      <c r="A18">
        <v>17</v>
      </c>
      <c r="B18" t="s">
        <v>31</v>
      </c>
      <c r="C18" s="4">
        <v>0.5131944444444444</v>
      </c>
      <c r="D18" s="4">
        <v>0.55555555555555558</v>
      </c>
      <c r="E18" t="s">
        <v>45</v>
      </c>
      <c r="F18">
        <f ca="1">COUNTIF(OFFSET($C$1,A18,0,41-A18,1), "&lt;"&amp;D18)</f>
        <v>3</v>
      </c>
      <c r="G18" s="4"/>
      <c r="H18" s="4"/>
    </row>
    <row r="19" spans="1:8" x14ac:dyDescent="0.2">
      <c r="A19" s="2">
        <v>18</v>
      </c>
      <c r="B19" s="2" t="s">
        <v>13</v>
      </c>
      <c r="C19" s="5">
        <v>0.52083333333333337</v>
      </c>
      <c r="D19" s="5">
        <v>0.56041666666666667</v>
      </c>
      <c r="E19" s="2" t="s">
        <v>44</v>
      </c>
      <c r="F19">
        <f ca="1">COUNTIF(OFFSET($C$1,A19,0,41-A19,1), "&lt;"&amp;D19)</f>
        <v>2</v>
      </c>
      <c r="G19" s="4"/>
      <c r="H19" s="4"/>
    </row>
    <row r="20" spans="1:8" x14ac:dyDescent="0.2">
      <c r="A20">
        <v>19</v>
      </c>
      <c r="B20" t="s">
        <v>32</v>
      </c>
      <c r="C20" s="4">
        <v>0.55486111111111114</v>
      </c>
      <c r="D20" s="4">
        <v>0.59722222222222221</v>
      </c>
      <c r="E20" t="s">
        <v>45</v>
      </c>
      <c r="F20">
        <f ca="1">COUNTIF(OFFSET($C$1,A20,0,41-A20,1), "&lt;"&amp;D20)</f>
        <v>2</v>
      </c>
      <c r="G20" s="4"/>
      <c r="H20" s="4"/>
    </row>
    <row r="21" spans="1:8" x14ac:dyDescent="0.2">
      <c r="A21" s="2">
        <v>20</v>
      </c>
      <c r="B21" s="2" t="s">
        <v>14</v>
      </c>
      <c r="C21" s="5">
        <v>0.5625</v>
      </c>
      <c r="D21" s="5">
        <v>0.6020833333333333</v>
      </c>
      <c r="E21" s="2" t="s">
        <v>44</v>
      </c>
      <c r="F21">
        <f ca="1">COUNTIF(OFFSET($C$1,A21,0,41-A21,1), "&lt;"&amp;D21)</f>
        <v>2</v>
      </c>
      <c r="G21" s="4"/>
      <c r="H21" s="4"/>
    </row>
    <row r="22" spans="1:8" x14ac:dyDescent="0.2">
      <c r="A22">
        <v>21</v>
      </c>
      <c r="B22" t="s">
        <v>15</v>
      </c>
      <c r="C22" s="4">
        <v>0.59861111111111109</v>
      </c>
      <c r="D22" s="4">
        <v>0.64166666666666672</v>
      </c>
      <c r="E22" t="s">
        <v>44</v>
      </c>
      <c r="F22">
        <f ca="1">COUNTIF(OFFSET($C$1,A22,0,41-A22,1), "&lt;"&amp;D22)</f>
        <v>4</v>
      </c>
      <c r="G22" s="4"/>
      <c r="H22" s="4"/>
    </row>
    <row r="23" spans="1:8" x14ac:dyDescent="0.2">
      <c r="A23" s="2">
        <v>22</v>
      </c>
      <c r="B23" s="2" t="s">
        <v>33</v>
      </c>
      <c r="C23" s="5">
        <v>0.6020833333333333</v>
      </c>
      <c r="D23" s="5">
        <v>0.64444444444444449</v>
      </c>
      <c r="E23" s="2" t="s">
        <v>45</v>
      </c>
      <c r="F23">
        <f ca="1">COUNTIF(OFFSET($C$1,A23,0,41-A23,1), "&lt;"&amp;D23)</f>
        <v>3</v>
      </c>
      <c r="G23" s="4"/>
      <c r="H23" s="4"/>
    </row>
    <row r="24" spans="1:8" x14ac:dyDescent="0.2">
      <c r="A24">
        <v>23</v>
      </c>
      <c r="B24" t="s">
        <v>16</v>
      </c>
      <c r="C24" s="4">
        <v>0.61527777777777781</v>
      </c>
      <c r="D24" s="4">
        <v>0.65833333333333333</v>
      </c>
      <c r="E24" t="s">
        <v>44</v>
      </c>
      <c r="F24">
        <f ca="1">COUNTIF(OFFSET($C$1,A24,0,41-A24,1), "&lt;"&amp;D24)</f>
        <v>3</v>
      </c>
      <c r="G24" s="4"/>
      <c r="H24" s="4"/>
    </row>
    <row r="25" spans="1:8" x14ac:dyDescent="0.2">
      <c r="A25" s="2">
        <v>24</v>
      </c>
      <c r="B25" s="2" t="s">
        <v>34</v>
      </c>
      <c r="C25" s="5">
        <v>0.63750000000000007</v>
      </c>
      <c r="D25" s="5">
        <v>0.68333333333333324</v>
      </c>
      <c r="E25" s="2" t="s">
        <v>45</v>
      </c>
      <c r="F25">
        <f ca="1">COUNTIF(OFFSET($C$1,A25,0,41-A25,1), "&lt;"&amp;D25)</f>
        <v>4</v>
      </c>
      <c r="G25" s="4"/>
      <c r="H25" s="4"/>
    </row>
    <row r="26" spans="1:8" x14ac:dyDescent="0.2">
      <c r="A26">
        <v>25</v>
      </c>
      <c r="B26" t="s">
        <v>17</v>
      </c>
      <c r="C26" s="4">
        <v>0.65694444444444444</v>
      </c>
      <c r="D26" s="4">
        <v>0.70000000000000007</v>
      </c>
      <c r="E26" t="s">
        <v>44</v>
      </c>
      <c r="F26">
        <f ca="1">COUNTIF(OFFSET($C$1,A26,0,41-A26,1), "&lt;"&amp;D26)</f>
        <v>3</v>
      </c>
      <c r="G26" s="4"/>
      <c r="H26" s="4"/>
    </row>
    <row r="27" spans="1:8" x14ac:dyDescent="0.2">
      <c r="A27" s="2">
        <v>26</v>
      </c>
      <c r="B27" s="2" t="s">
        <v>35</v>
      </c>
      <c r="C27" s="5">
        <v>0.65833333333333333</v>
      </c>
      <c r="D27" s="5">
        <v>0.70416666666666661</v>
      </c>
      <c r="E27" s="2" t="s">
        <v>45</v>
      </c>
      <c r="F27">
        <f ca="1">COUNTIF(OFFSET($C$1,A27,0,41-A27,1), "&lt;"&amp;D27)</f>
        <v>4</v>
      </c>
      <c r="G27" s="4"/>
      <c r="H27" s="4"/>
    </row>
    <row r="28" spans="1:8" x14ac:dyDescent="0.2">
      <c r="A28">
        <v>27</v>
      </c>
      <c r="B28" t="s">
        <v>36</v>
      </c>
      <c r="C28" s="4">
        <v>0.6791666666666667</v>
      </c>
      <c r="D28" s="4">
        <v>0.72569444444444453</v>
      </c>
      <c r="E28" t="s">
        <v>45</v>
      </c>
      <c r="F28">
        <f ca="1">COUNTIF(OFFSET($C$1,A28,0,41-A28,1), "&lt;"&amp;D28)</f>
        <v>4</v>
      </c>
      <c r="G28" s="4"/>
      <c r="H28" s="4"/>
    </row>
    <row r="29" spans="1:8" x14ac:dyDescent="0.2">
      <c r="A29" s="2">
        <v>28</v>
      </c>
      <c r="B29" s="2" t="s">
        <v>37</v>
      </c>
      <c r="C29" s="5">
        <v>0.70000000000000007</v>
      </c>
      <c r="D29" s="5">
        <v>0.74652777777777779</v>
      </c>
      <c r="E29" s="2" t="s">
        <v>45</v>
      </c>
      <c r="F29">
        <f ca="1">COUNTIF(OFFSET($C$1,A29,0,41-A29,1), "&lt;"&amp;D29)</f>
        <v>5</v>
      </c>
      <c r="G29" s="4"/>
      <c r="H29" s="4"/>
    </row>
    <row r="30" spans="1:8" x14ac:dyDescent="0.2">
      <c r="A30">
        <v>29</v>
      </c>
      <c r="B30" t="s">
        <v>18</v>
      </c>
      <c r="C30" s="4">
        <v>0.70208333333333339</v>
      </c>
      <c r="D30" s="4">
        <v>0.74513888888888891</v>
      </c>
      <c r="E30" t="s">
        <v>44</v>
      </c>
      <c r="F30">
        <f ca="1">COUNTIF(OFFSET($C$1,A30,0,41-A30,1), "&lt;"&amp;D30)</f>
        <v>3</v>
      </c>
      <c r="G30" s="4"/>
      <c r="H30" s="4"/>
    </row>
    <row r="31" spans="1:8" x14ac:dyDescent="0.2">
      <c r="A31" s="2">
        <v>30</v>
      </c>
      <c r="B31" s="2" t="s">
        <v>38</v>
      </c>
      <c r="C31" s="5">
        <v>0.72083333333333333</v>
      </c>
      <c r="D31" s="5">
        <v>0.76736111111111116</v>
      </c>
      <c r="E31" s="2" t="s">
        <v>45</v>
      </c>
      <c r="F31">
        <f ca="1">COUNTIF(OFFSET($C$1,A31,0,41-A31,1), "&lt;"&amp;D31)</f>
        <v>3</v>
      </c>
      <c r="G31" s="4"/>
      <c r="H31" s="4"/>
    </row>
    <row r="32" spans="1:8" x14ac:dyDescent="0.2">
      <c r="A32">
        <v>31</v>
      </c>
      <c r="B32" t="s">
        <v>19</v>
      </c>
      <c r="C32" s="4">
        <v>0.73888888888888893</v>
      </c>
      <c r="D32" s="4">
        <v>0.77638888888888891</v>
      </c>
      <c r="E32" t="s">
        <v>44</v>
      </c>
      <c r="F32">
        <f ca="1">COUNTIF(OFFSET($C$1,A32,0,41-A32,1), "&lt;"&amp;D32)</f>
        <v>2</v>
      </c>
      <c r="G32" s="4"/>
      <c r="H32" s="4"/>
    </row>
    <row r="33" spans="1:8" x14ac:dyDescent="0.2">
      <c r="A33" s="2">
        <v>32</v>
      </c>
      <c r="B33" s="2" t="s">
        <v>39</v>
      </c>
      <c r="C33" s="5">
        <v>0.74513888888888891</v>
      </c>
      <c r="D33" s="5">
        <v>0.79166666666666663</v>
      </c>
      <c r="E33" s="2" t="s">
        <v>45</v>
      </c>
      <c r="F33">
        <f ca="1">COUNTIF(OFFSET($C$1,A33,0,41-A33,1), "&lt;"&amp;D33)</f>
        <v>3</v>
      </c>
      <c r="G33" s="4"/>
      <c r="H33" s="4"/>
    </row>
    <row r="34" spans="1:8" x14ac:dyDescent="0.2">
      <c r="A34">
        <v>33</v>
      </c>
      <c r="B34" t="s">
        <v>40</v>
      </c>
      <c r="C34" s="4">
        <v>0.77638888888888891</v>
      </c>
      <c r="D34" s="4">
        <v>0.81944444444444453</v>
      </c>
      <c r="E34" t="s">
        <v>45</v>
      </c>
      <c r="F34">
        <f ca="1">COUNTIF(OFFSET($C$1,A34,0,41-A34,1), "&lt;"&amp;D34)</f>
        <v>3</v>
      </c>
      <c r="G34" s="4"/>
      <c r="H34" s="4"/>
    </row>
    <row r="35" spans="1:8" x14ac:dyDescent="0.2">
      <c r="A35" s="2">
        <v>34</v>
      </c>
      <c r="B35" s="2" t="s">
        <v>20</v>
      </c>
      <c r="C35" s="5">
        <v>0.78055555555555556</v>
      </c>
      <c r="D35" s="5">
        <v>0.81805555555555554</v>
      </c>
      <c r="E35" s="2" t="s">
        <v>44</v>
      </c>
      <c r="F35">
        <f ca="1">COUNTIF(OFFSET($C$1,A35,0,41-A35,1), "&lt;"&amp;D35)</f>
        <v>1</v>
      </c>
      <c r="G35" s="4"/>
      <c r="H35" s="4"/>
    </row>
    <row r="36" spans="1:8" x14ac:dyDescent="0.2">
      <c r="A36">
        <v>35</v>
      </c>
      <c r="B36" t="s">
        <v>41</v>
      </c>
      <c r="C36" s="4">
        <v>0.81805555555555554</v>
      </c>
      <c r="D36" s="4">
        <v>0.86111111111111116</v>
      </c>
      <c r="E36" t="s">
        <v>45</v>
      </c>
      <c r="F36">
        <f ca="1">COUNTIF(OFFSET($C$1,A36,0,41-A36,1), "&lt;"&amp;D36)</f>
        <v>2</v>
      </c>
      <c r="G36" s="4"/>
      <c r="H36" s="4"/>
    </row>
    <row r="37" spans="1:8" x14ac:dyDescent="0.2">
      <c r="A37" s="2">
        <v>36</v>
      </c>
      <c r="B37" s="2" t="s">
        <v>21</v>
      </c>
      <c r="C37" s="5">
        <v>0.82916666666666661</v>
      </c>
      <c r="D37" s="5">
        <v>0.8666666666666667</v>
      </c>
      <c r="E37" s="2" t="s">
        <v>44</v>
      </c>
      <c r="F37">
        <f ca="1">COUNTIF(OFFSET($C$1,A37,0,41-A37,1), "&lt;"&amp;D37)</f>
        <v>1</v>
      </c>
      <c r="G37" s="4"/>
      <c r="H37" s="4"/>
    </row>
    <row r="38" spans="1:8" x14ac:dyDescent="0.2">
      <c r="A38">
        <v>37</v>
      </c>
      <c r="B38" t="s">
        <v>42</v>
      </c>
      <c r="C38" s="4">
        <v>0.8666666666666667</v>
      </c>
      <c r="D38" s="4">
        <v>0.90972222222222221</v>
      </c>
      <c r="E38" t="s">
        <v>45</v>
      </c>
      <c r="F38">
        <f ca="1">COUNTIF(OFFSET($C$1,A38,0,41-A38,1), "&lt;"&amp;D38)</f>
        <v>2</v>
      </c>
      <c r="G38" s="4"/>
      <c r="H38" s="4"/>
    </row>
    <row r="39" spans="1:8" x14ac:dyDescent="0.2">
      <c r="A39" s="2">
        <v>38</v>
      </c>
      <c r="B39" s="2" t="s">
        <v>22</v>
      </c>
      <c r="C39" s="5">
        <v>0.87430555555555556</v>
      </c>
      <c r="D39" s="5">
        <v>0.91180555555555554</v>
      </c>
      <c r="E39" s="2" t="s">
        <v>44</v>
      </c>
      <c r="F39">
        <f ca="1">COUNTIF(OFFSET($C$1,A39,0,41-A39,1), "&lt;"&amp;D39)</f>
        <v>1</v>
      </c>
      <c r="G39" s="4"/>
      <c r="H39" s="4"/>
    </row>
    <row r="40" spans="1:8" x14ac:dyDescent="0.2">
      <c r="A40">
        <v>39</v>
      </c>
      <c r="B40" t="s">
        <v>43</v>
      </c>
      <c r="C40" s="4">
        <v>0.91180555555555554</v>
      </c>
      <c r="D40" s="4">
        <v>0.95486111111111116</v>
      </c>
      <c r="E40" t="s">
        <v>45</v>
      </c>
      <c r="F40">
        <f ca="1">COUNTIF(OFFSET($C$1,A40,0,41-A40,1), "&lt;"&amp;D40)</f>
        <v>2</v>
      </c>
      <c r="G40" s="4"/>
      <c r="H40" s="4"/>
    </row>
    <row r="41" spans="1:8" x14ac:dyDescent="0.2">
      <c r="A41" s="2">
        <v>40</v>
      </c>
      <c r="B41" s="2" t="s">
        <v>23</v>
      </c>
      <c r="C41" s="5">
        <v>0.92291666666666661</v>
      </c>
      <c r="D41" s="5">
        <v>0.9604166666666667</v>
      </c>
      <c r="E41" s="2" t="s">
        <v>44</v>
      </c>
      <c r="F41">
        <f ca="1">COUNTIF(OFFSET($C$1,A41,0,41-A41,1), "&lt;"&amp;D41)</f>
        <v>1</v>
      </c>
      <c r="G41" s="4"/>
      <c r="H41" s="4"/>
    </row>
  </sheetData>
  <sortState xmlns:xlrd2="http://schemas.microsoft.com/office/spreadsheetml/2017/richdata2" ref="B2:E41">
    <sortCondition ref="C2:C41"/>
  </sortState>
  <conditionalFormatting sqref="F2:F41">
    <cfRule type="cellIs" dxfId="3" priority="1" operator="equal">
      <formula>$I$2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A53AC-9014-A543-A238-480A59D91A4E}">
  <dimension ref="A1:N42"/>
  <sheetViews>
    <sheetView tabSelected="1" zoomScale="140" zoomScaleNormal="140" workbookViewId="0">
      <selection activeCell="H10" sqref="H10"/>
    </sheetView>
  </sheetViews>
  <sheetFormatPr baseColWidth="10" defaultColWidth="8.83203125" defaultRowHeight="15" x14ac:dyDescent="0.2"/>
  <cols>
    <col min="2" max="2" width="13.6640625" bestFit="1" customWidth="1"/>
    <col min="3" max="4" width="11" bestFit="1" customWidth="1"/>
    <col min="5" max="5" width="9" bestFit="1" customWidth="1"/>
    <col min="6" max="6" width="9" customWidth="1"/>
    <col min="7" max="7" width="13.6640625" bestFit="1" customWidth="1"/>
    <col min="8" max="8" width="13.1640625" customWidth="1"/>
    <col min="9" max="9" width="10.83203125" customWidth="1"/>
    <col min="10" max="10" width="10" customWidth="1"/>
    <col min="11" max="11" width="20.5" bestFit="1" customWidth="1"/>
    <col min="12" max="12" width="11" bestFit="1" customWidth="1"/>
    <col min="13" max="13" width="16.6640625" bestFit="1" customWidth="1"/>
  </cols>
  <sheetData>
    <row r="1" spans="1:14" x14ac:dyDescent="0.2">
      <c r="B1" s="16" t="s">
        <v>55</v>
      </c>
      <c r="C1" s="16"/>
      <c r="D1" s="16"/>
      <c r="E1" s="17"/>
      <c r="F1" s="21" t="s">
        <v>56</v>
      </c>
      <c r="G1" s="22"/>
      <c r="H1" s="22"/>
      <c r="I1" s="22"/>
      <c r="J1" s="23"/>
    </row>
    <row r="2" spans="1:14" x14ac:dyDescent="0.2">
      <c r="A2" s="1" t="s">
        <v>57</v>
      </c>
      <c r="B2" s="1" t="s">
        <v>0</v>
      </c>
      <c r="C2" s="1" t="s">
        <v>1</v>
      </c>
      <c r="D2" s="1" t="s">
        <v>2</v>
      </c>
      <c r="E2" s="1" t="s">
        <v>3</v>
      </c>
      <c r="F2" s="18" t="s">
        <v>57</v>
      </c>
      <c r="G2" s="18" t="s">
        <v>0</v>
      </c>
      <c r="H2" s="18" t="s">
        <v>1</v>
      </c>
      <c r="I2" s="18" t="s">
        <v>2</v>
      </c>
      <c r="J2" s="18" t="s">
        <v>3</v>
      </c>
      <c r="K2" s="3" t="s">
        <v>53</v>
      </c>
    </row>
    <row r="3" spans="1:14" x14ac:dyDescent="0.2">
      <c r="A3">
        <v>1</v>
      </c>
      <c r="B3" s="10" t="s">
        <v>4</v>
      </c>
      <c r="C3" s="11">
        <v>0.23541666666666669</v>
      </c>
      <c r="D3" s="11">
        <v>0.27638888888888885</v>
      </c>
      <c r="E3" s="12" t="s">
        <v>44</v>
      </c>
      <c r="F3">
        <v>3</v>
      </c>
      <c r="G3" s="10" t="s">
        <v>24</v>
      </c>
      <c r="H3" s="11">
        <v>0.27638888888888885</v>
      </c>
      <c r="I3" s="11">
        <v>0.31805555555555554</v>
      </c>
      <c r="J3" s="12" t="s">
        <v>45</v>
      </c>
      <c r="K3">
        <f ca="1">COUNTIF(OFFSET($C$2,A3,0,41-A3,1), "&lt;"&amp;D3)</f>
        <v>2</v>
      </c>
      <c r="M3" s="9" t="s">
        <v>54</v>
      </c>
      <c r="N3">
        <f ca="1">MAX(K3:K42)</f>
        <v>5</v>
      </c>
    </row>
    <row r="4" spans="1:14" x14ac:dyDescent="0.2">
      <c r="A4" s="2">
        <v>2</v>
      </c>
      <c r="B4" s="13" t="s">
        <v>5</v>
      </c>
      <c r="C4" s="14">
        <v>0.25972222222222224</v>
      </c>
      <c r="D4" s="14">
        <v>0.30069444444444443</v>
      </c>
      <c r="E4" s="15" t="s">
        <v>44</v>
      </c>
      <c r="F4" s="19">
        <v>6</v>
      </c>
      <c r="G4" s="19" t="s">
        <v>7</v>
      </c>
      <c r="H4" s="20">
        <v>0.30069444444444443</v>
      </c>
      <c r="I4" s="20">
        <v>0.34236111111111112</v>
      </c>
      <c r="J4" s="19" t="s">
        <v>44</v>
      </c>
      <c r="K4">
        <f ca="1">COUNTIF(OFFSET($C$2,A4,0,41-A4,1), "&lt;"&amp;D4)</f>
        <v>3</v>
      </c>
      <c r="L4" s="4"/>
      <c r="M4" s="9"/>
    </row>
    <row r="5" spans="1:14" x14ac:dyDescent="0.2">
      <c r="G5" s="10"/>
      <c r="H5" s="11"/>
      <c r="I5" s="11"/>
      <c r="J5" s="12"/>
      <c r="K5">
        <f ca="1">COUNTIF(OFFSET($C$2,F3,0,41-F3,1), "&lt;"&amp;I3)</f>
        <v>3</v>
      </c>
      <c r="L5" s="4"/>
      <c r="M5" s="6"/>
    </row>
    <row r="6" spans="1:14" x14ac:dyDescent="0.2">
      <c r="A6" s="2">
        <v>4</v>
      </c>
      <c r="B6" s="13" t="s">
        <v>6</v>
      </c>
      <c r="C6" s="14">
        <v>0.28055555555555556</v>
      </c>
      <c r="D6" s="14">
        <v>0.3215277777777778</v>
      </c>
      <c r="E6" s="15" t="s">
        <v>44</v>
      </c>
      <c r="F6" s="19"/>
      <c r="G6" s="19"/>
      <c r="H6" s="20"/>
      <c r="I6" s="20"/>
      <c r="J6" s="19"/>
      <c r="K6">
        <f ca="1">COUNTIF(OFFSET($C$2,A6,0,41-A6,1), "&lt;"&amp;D6)</f>
        <v>3</v>
      </c>
      <c r="L6" s="4"/>
    </row>
    <row r="7" spans="1:14" x14ac:dyDescent="0.2">
      <c r="A7">
        <v>5</v>
      </c>
      <c r="B7" s="10" t="s">
        <v>25</v>
      </c>
      <c r="C7" s="11">
        <v>0.2902777777777778</v>
      </c>
      <c r="D7" s="11">
        <v>0.33194444444444443</v>
      </c>
      <c r="E7" s="12" t="s">
        <v>45</v>
      </c>
      <c r="G7" s="10"/>
      <c r="H7" s="11"/>
      <c r="I7" s="11"/>
      <c r="J7" s="12"/>
      <c r="K7">
        <f ca="1">COUNTIF(OFFSET($C$2,A7,0,41-A7,1), "&lt;"&amp;D7)</f>
        <v>3</v>
      </c>
      <c r="L7" s="4"/>
    </row>
    <row r="8" spans="1:14" x14ac:dyDescent="0.2">
      <c r="A8" s="2"/>
      <c r="B8" s="13"/>
      <c r="C8" s="14"/>
      <c r="D8" s="14"/>
      <c r="E8" s="15"/>
      <c r="F8" s="19"/>
      <c r="G8" s="19"/>
      <c r="H8" s="20"/>
      <c r="I8" s="20"/>
      <c r="J8" s="19"/>
      <c r="K8">
        <f ca="1">COUNTIF(OFFSET($C$2,A8,0,41-A8,1), "&lt;"&amp;D8)</f>
        <v>0</v>
      </c>
      <c r="L8" s="4"/>
    </row>
    <row r="9" spans="1:14" x14ac:dyDescent="0.2">
      <c r="A9">
        <v>7</v>
      </c>
      <c r="B9" s="10" t="s">
        <v>26</v>
      </c>
      <c r="C9" s="11">
        <v>0.30069444444444443</v>
      </c>
      <c r="D9" s="11">
        <v>0.34236111111111112</v>
      </c>
      <c r="E9" s="12" t="s">
        <v>45</v>
      </c>
      <c r="G9" s="10"/>
      <c r="H9" s="11"/>
      <c r="I9" s="11"/>
      <c r="J9" s="12"/>
      <c r="K9">
        <f ca="1">COUNTIF(OFFSET($C$2,A9,0,41-A9,1), "&lt;"&amp;D9)</f>
        <v>2</v>
      </c>
      <c r="L9" s="4"/>
      <c r="M9" s="4"/>
    </row>
    <row r="10" spans="1:14" x14ac:dyDescent="0.2">
      <c r="A10" s="2">
        <v>8</v>
      </c>
      <c r="B10" s="13" t="s">
        <v>8</v>
      </c>
      <c r="C10" s="14">
        <v>0.32500000000000001</v>
      </c>
      <c r="D10" s="14">
        <v>0.3666666666666667</v>
      </c>
      <c r="E10" s="15" t="s">
        <v>44</v>
      </c>
      <c r="F10" s="19"/>
      <c r="G10" s="19"/>
      <c r="H10" s="20"/>
      <c r="I10" s="20"/>
      <c r="J10" s="19"/>
      <c r="K10">
        <f ca="1">COUNTIF(OFFSET($C$2,A10,0,41-A10,1), "&lt;"&amp;D10)</f>
        <v>3</v>
      </c>
      <c r="L10" s="4"/>
      <c r="M10" s="4"/>
    </row>
    <row r="11" spans="1:14" x14ac:dyDescent="0.2">
      <c r="A11">
        <v>9</v>
      </c>
      <c r="B11" s="10" t="s">
        <v>27</v>
      </c>
      <c r="C11" s="11">
        <v>0.34236111111111112</v>
      </c>
      <c r="D11" s="11">
        <v>0.3840277777777778</v>
      </c>
      <c r="E11" s="12" t="s">
        <v>45</v>
      </c>
      <c r="G11" s="10"/>
      <c r="H11" s="11"/>
      <c r="I11" s="11"/>
      <c r="J11" s="12"/>
      <c r="K11">
        <f ca="1">COUNTIF(OFFSET($C$2,A11,0,41-A11,1), "&lt;"&amp;D11)</f>
        <v>2</v>
      </c>
      <c r="L11" s="4"/>
      <c r="M11" s="4"/>
    </row>
    <row r="12" spans="1:14" x14ac:dyDescent="0.2">
      <c r="A12" s="2">
        <v>10</v>
      </c>
      <c r="B12" s="13" t="s">
        <v>9</v>
      </c>
      <c r="C12" s="14">
        <v>0.34583333333333338</v>
      </c>
      <c r="D12" s="14">
        <v>0.38750000000000001</v>
      </c>
      <c r="E12" s="15" t="s">
        <v>44</v>
      </c>
      <c r="F12" s="19"/>
      <c r="G12" s="19"/>
      <c r="H12" s="20"/>
      <c r="I12" s="20"/>
      <c r="J12" s="19"/>
      <c r="K12">
        <f ca="1">COUNTIF(OFFSET($C$2,A12,0,41-A12,1), "&lt;"&amp;D12)</f>
        <v>1</v>
      </c>
      <c r="L12" s="4"/>
      <c r="M12" s="4"/>
    </row>
    <row r="13" spans="1:14" x14ac:dyDescent="0.2">
      <c r="A13">
        <v>11</v>
      </c>
      <c r="B13" s="10" t="s">
        <v>28</v>
      </c>
      <c r="C13" s="11">
        <v>0.38750000000000001</v>
      </c>
      <c r="D13" s="11">
        <v>0.4291666666666667</v>
      </c>
      <c r="E13" s="12" t="s">
        <v>45</v>
      </c>
      <c r="G13" s="10"/>
      <c r="H13" s="11"/>
      <c r="I13" s="11"/>
      <c r="J13" s="12"/>
      <c r="K13">
        <f ca="1">COUNTIF(OFFSET($C$2,A13,0,41-A13,1), "&lt;"&amp;D13)</f>
        <v>2</v>
      </c>
      <c r="L13" s="4"/>
      <c r="M13" s="4"/>
    </row>
    <row r="14" spans="1:14" x14ac:dyDescent="0.2">
      <c r="A14" s="2">
        <v>12</v>
      </c>
      <c r="B14" s="13" t="s">
        <v>10</v>
      </c>
      <c r="C14" s="14">
        <v>0.39583333333333331</v>
      </c>
      <c r="D14" s="14">
        <v>0.43472222222222223</v>
      </c>
      <c r="E14" s="15" t="s">
        <v>44</v>
      </c>
      <c r="F14" s="19"/>
      <c r="G14" s="19"/>
      <c r="H14" s="20"/>
      <c r="I14" s="20"/>
      <c r="J14" s="19"/>
      <c r="K14">
        <f ca="1">COUNTIF(OFFSET($C$2,A14,0,41-A14,1), "&lt;"&amp;D14)</f>
        <v>2</v>
      </c>
      <c r="L14" s="4"/>
      <c r="M14" s="4"/>
    </row>
    <row r="15" spans="1:14" x14ac:dyDescent="0.2">
      <c r="A15">
        <v>13</v>
      </c>
      <c r="B15" s="10" t="s">
        <v>29</v>
      </c>
      <c r="C15" s="11">
        <v>0.42986111111111108</v>
      </c>
      <c r="D15" s="11">
        <v>0.47222222222222227</v>
      </c>
      <c r="E15" s="12" t="s">
        <v>45</v>
      </c>
      <c r="G15" s="10"/>
      <c r="H15" s="11"/>
      <c r="I15" s="11"/>
      <c r="J15" s="12"/>
      <c r="K15">
        <f ca="1">COUNTIF(OFFSET($C$2,A15,0,41-A15,1), "&lt;"&amp;D15)</f>
        <v>3</v>
      </c>
      <c r="L15" s="4"/>
      <c r="M15" s="4"/>
    </row>
    <row r="16" spans="1:14" x14ac:dyDescent="0.2">
      <c r="A16" s="2">
        <v>14</v>
      </c>
      <c r="B16" s="13" t="s">
        <v>11</v>
      </c>
      <c r="C16" s="14">
        <v>0.4375</v>
      </c>
      <c r="D16" s="14">
        <v>0.47638888888888892</v>
      </c>
      <c r="E16" s="15" t="s">
        <v>44</v>
      </c>
      <c r="F16" s="19"/>
      <c r="G16" s="19"/>
      <c r="H16" s="20"/>
      <c r="I16" s="20"/>
      <c r="J16" s="19"/>
      <c r="K16">
        <f ca="1">COUNTIF(OFFSET($C$2,A16,0,41-A16,1), "&lt;"&amp;D16)</f>
        <v>2</v>
      </c>
      <c r="L16" s="4"/>
      <c r="M16" s="4"/>
    </row>
    <row r="17" spans="1:13" x14ac:dyDescent="0.2">
      <c r="A17">
        <v>15</v>
      </c>
      <c r="B17" s="10" t="s">
        <v>30</v>
      </c>
      <c r="C17" s="11">
        <v>0.47152777777777777</v>
      </c>
      <c r="D17" s="11">
        <v>0.51388888888888895</v>
      </c>
      <c r="E17" s="12" t="s">
        <v>45</v>
      </c>
      <c r="G17" s="10"/>
      <c r="H17" s="11"/>
      <c r="I17" s="11"/>
      <c r="J17" s="12"/>
      <c r="K17">
        <f ca="1">COUNTIF(OFFSET($C$2,A17,0,41-A17,1), "&lt;"&amp;D17)</f>
        <v>3</v>
      </c>
      <c r="L17" s="4"/>
      <c r="M17" s="4"/>
    </row>
    <row r="18" spans="1:13" x14ac:dyDescent="0.2">
      <c r="A18" s="2">
        <v>16</v>
      </c>
      <c r="B18" s="13" t="s">
        <v>12</v>
      </c>
      <c r="C18" s="14">
        <v>0.47916666666666669</v>
      </c>
      <c r="D18" s="14">
        <v>0.5180555555555556</v>
      </c>
      <c r="E18" s="15" t="s">
        <v>44</v>
      </c>
      <c r="F18" s="19"/>
      <c r="G18" s="19"/>
      <c r="H18" s="20"/>
      <c r="I18" s="20"/>
      <c r="J18" s="19"/>
      <c r="K18">
        <f ca="1">COUNTIF(OFFSET($C$2,A18,0,41-A18,1), "&lt;"&amp;D18)</f>
        <v>2</v>
      </c>
      <c r="L18" s="4"/>
      <c r="M18" s="4"/>
    </row>
    <row r="19" spans="1:13" x14ac:dyDescent="0.2">
      <c r="A19">
        <v>17</v>
      </c>
      <c r="B19" s="10" t="s">
        <v>31</v>
      </c>
      <c r="C19" s="11">
        <v>0.5131944444444444</v>
      </c>
      <c r="D19" s="11">
        <v>0.55555555555555558</v>
      </c>
      <c r="E19" s="12" t="s">
        <v>45</v>
      </c>
      <c r="G19" s="10"/>
      <c r="H19" s="11"/>
      <c r="I19" s="11"/>
      <c r="J19" s="12"/>
      <c r="K19">
        <f ca="1">COUNTIF(OFFSET($C$2,A19,0,41-A19,1), "&lt;"&amp;D19)</f>
        <v>3</v>
      </c>
      <c r="L19" s="4"/>
      <c r="M19" s="4"/>
    </row>
    <row r="20" spans="1:13" x14ac:dyDescent="0.2">
      <c r="A20" s="2">
        <v>18</v>
      </c>
      <c r="B20" s="13" t="s">
        <v>13</v>
      </c>
      <c r="C20" s="14">
        <v>0.52083333333333337</v>
      </c>
      <c r="D20" s="14">
        <v>0.56041666666666667</v>
      </c>
      <c r="E20" s="15" t="s">
        <v>44</v>
      </c>
      <c r="F20" s="19"/>
      <c r="G20" s="19"/>
      <c r="H20" s="20"/>
      <c r="I20" s="20"/>
      <c r="J20" s="19"/>
      <c r="K20">
        <f ca="1">COUNTIF(OFFSET($C$2,A20,0,41-A20,1), "&lt;"&amp;D20)</f>
        <v>2</v>
      </c>
      <c r="L20" s="4"/>
      <c r="M20" s="4"/>
    </row>
    <row r="21" spans="1:13" x14ac:dyDescent="0.2">
      <c r="A21">
        <v>19</v>
      </c>
      <c r="B21" s="10" t="s">
        <v>32</v>
      </c>
      <c r="C21" s="11">
        <v>0.55486111111111114</v>
      </c>
      <c r="D21" s="11">
        <v>0.59722222222222221</v>
      </c>
      <c r="E21" s="12" t="s">
        <v>45</v>
      </c>
      <c r="G21" s="10"/>
      <c r="H21" s="11"/>
      <c r="I21" s="11"/>
      <c r="J21" s="12"/>
      <c r="K21">
        <f ca="1">COUNTIF(OFFSET($C$2,A21,0,41-A21,1), "&lt;"&amp;D21)</f>
        <v>2</v>
      </c>
      <c r="L21" s="4"/>
      <c r="M21" s="4"/>
    </row>
    <row r="22" spans="1:13" x14ac:dyDescent="0.2">
      <c r="A22" s="2">
        <v>20</v>
      </c>
      <c r="B22" s="13" t="s">
        <v>14</v>
      </c>
      <c r="C22" s="14">
        <v>0.5625</v>
      </c>
      <c r="D22" s="14">
        <v>0.6020833333333333</v>
      </c>
      <c r="E22" s="15" t="s">
        <v>44</v>
      </c>
      <c r="F22" s="19"/>
      <c r="G22" s="19"/>
      <c r="H22" s="20"/>
      <c r="I22" s="20"/>
      <c r="J22" s="19"/>
      <c r="K22">
        <f ca="1">COUNTIF(OFFSET($C$2,A22,0,41-A22,1), "&lt;"&amp;D22)</f>
        <v>2</v>
      </c>
      <c r="L22" s="4"/>
      <c r="M22" s="4"/>
    </row>
    <row r="23" spans="1:13" x14ac:dyDescent="0.2">
      <c r="A23">
        <v>21</v>
      </c>
      <c r="B23" s="10" t="s">
        <v>15</v>
      </c>
      <c r="C23" s="11">
        <v>0.59861111111111109</v>
      </c>
      <c r="D23" s="11">
        <v>0.64166666666666672</v>
      </c>
      <c r="E23" s="12" t="s">
        <v>44</v>
      </c>
      <c r="G23" s="10"/>
      <c r="H23" s="11"/>
      <c r="I23" s="11"/>
      <c r="J23" s="12"/>
      <c r="K23">
        <f ca="1">COUNTIF(OFFSET($C$2,A23,0,41-A23,1), "&lt;"&amp;D23)</f>
        <v>4</v>
      </c>
      <c r="L23" s="4"/>
      <c r="M23" s="4"/>
    </row>
    <row r="24" spans="1:13" x14ac:dyDescent="0.2">
      <c r="A24" s="2">
        <v>22</v>
      </c>
      <c r="B24" s="13" t="s">
        <v>33</v>
      </c>
      <c r="C24" s="14">
        <v>0.6020833333333333</v>
      </c>
      <c r="D24" s="14">
        <v>0.64444444444444449</v>
      </c>
      <c r="E24" s="15" t="s">
        <v>45</v>
      </c>
      <c r="F24" s="19"/>
      <c r="G24" s="19"/>
      <c r="H24" s="20"/>
      <c r="I24" s="20"/>
      <c r="J24" s="19"/>
      <c r="K24">
        <f ca="1">COUNTIF(OFFSET($C$2,A24,0,41-A24,1), "&lt;"&amp;D24)</f>
        <v>3</v>
      </c>
      <c r="L24" s="4"/>
      <c r="M24" s="4"/>
    </row>
    <row r="25" spans="1:13" x14ac:dyDescent="0.2">
      <c r="A25">
        <v>23</v>
      </c>
      <c r="B25" s="10" t="s">
        <v>16</v>
      </c>
      <c r="C25" s="11">
        <v>0.61527777777777781</v>
      </c>
      <c r="D25" s="11">
        <v>0.65833333333333333</v>
      </c>
      <c r="E25" s="12" t="s">
        <v>44</v>
      </c>
      <c r="G25" s="10"/>
      <c r="H25" s="11"/>
      <c r="I25" s="11"/>
      <c r="J25" s="12"/>
      <c r="K25">
        <f ca="1">COUNTIF(OFFSET($C$2,A25,0,41-A25,1), "&lt;"&amp;D25)</f>
        <v>3</v>
      </c>
      <c r="L25" s="4"/>
      <c r="M25" s="4"/>
    </row>
    <row r="26" spans="1:13" x14ac:dyDescent="0.2">
      <c r="A26" s="2">
        <v>24</v>
      </c>
      <c r="B26" s="13" t="s">
        <v>34</v>
      </c>
      <c r="C26" s="14">
        <v>0.63750000000000007</v>
      </c>
      <c r="D26" s="14">
        <v>0.68333333333333324</v>
      </c>
      <c r="E26" s="15" t="s">
        <v>45</v>
      </c>
      <c r="F26" s="19"/>
      <c r="G26" s="19"/>
      <c r="H26" s="20"/>
      <c r="I26" s="20"/>
      <c r="J26" s="19"/>
      <c r="K26">
        <f ca="1">COUNTIF(OFFSET($C$2,A26,0,41-A26,1), "&lt;"&amp;D26)</f>
        <v>4</v>
      </c>
      <c r="L26" s="4"/>
      <c r="M26" s="4"/>
    </row>
    <row r="27" spans="1:13" x14ac:dyDescent="0.2">
      <c r="A27">
        <v>25</v>
      </c>
      <c r="B27" s="10" t="s">
        <v>17</v>
      </c>
      <c r="C27" s="11">
        <v>0.65694444444444444</v>
      </c>
      <c r="D27" s="11">
        <v>0.70000000000000007</v>
      </c>
      <c r="E27" s="12" t="s">
        <v>44</v>
      </c>
      <c r="G27" s="10"/>
      <c r="H27" s="11"/>
      <c r="I27" s="11"/>
      <c r="J27" s="12"/>
      <c r="K27">
        <f ca="1">COUNTIF(OFFSET($C$2,A27,0,41-A27,1), "&lt;"&amp;D27)</f>
        <v>3</v>
      </c>
      <c r="L27" s="4"/>
      <c r="M27" s="4"/>
    </row>
    <row r="28" spans="1:13" x14ac:dyDescent="0.2">
      <c r="A28" s="2">
        <v>26</v>
      </c>
      <c r="B28" s="13" t="s">
        <v>35</v>
      </c>
      <c r="C28" s="14">
        <v>0.65833333333333333</v>
      </c>
      <c r="D28" s="14">
        <v>0.70416666666666661</v>
      </c>
      <c r="E28" s="15" t="s">
        <v>45</v>
      </c>
      <c r="F28" s="19"/>
      <c r="G28" s="19"/>
      <c r="H28" s="20"/>
      <c r="I28" s="20"/>
      <c r="J28" s="19"/>
      <c r="K28">
        <f ca="1">COUNTIF(OFFSET($C$2,A28,0,41-A28,1), "&lt;"&amp;D28)</f>
        <v>4</v>
      </c>
      <c r="L28" s="4"/>
      <c r="M28" s="4"/>
    </row>
    <row r="29" spans="1:13" x14ac:dyDescent="0.2">
      <c r="A29">
        <v>27</v>
      </c>
      <c r="B29" s="10" t="s">
        <v>36</v>
      </c>
      <c r="C29" s="11">
        <v>0.6791666666666667</v>
      </c>
      <c r="D29" s="11">
        <v>0.72569444444444453</v>
      </c>
      <c r="E29" s="12" t="s">
        <v>45</v>
      </c>
      <c r="G29" s="10"/>
      <c r="H29" s="11"/>
      <c r="I29" s="11"/>
      <c r="J29" s="12"/>
      <c r="K29">
        <f ca="1">COUNTIF(OFFSET($C$2,A29,0,41-A29,1), "&lt;"&amp;D29)</f>
        <v>4</v>
      </c>
      <c r="L29" s="4"/>
      <c r="M29" s="4"/>
    </row>
    <row r="30" spans="1:13" x14ac:dyDescent="0.2">
      <c r="A30" s="2">
        <v>28</v>
      </c>
      <c r="B30" s="13" t="s">
        <v>37</v>
      </c>
      <c r="C30" s="14">
        <v>0.70000000000000007</v>
      </c>
      <c r="D30" s="14">
        <v>0.74652777777777779</v>
      </c>
      <c r="E30" s="15" t="s">
        <v>45</v>
      </c>
      <c r="F30" s="19"/>
      <c r="G30" s="19"/>
      <c r="H30" s="20"/>
      <c r="I30" s="20"/>
      <c r="J30" s="19"/>
      <c r="K30">
        <f ca="1">COUNTIF(OFFSET($C$2,A30,0,41-A30,1), "&lt;"&amp;D30)</f>
        <v>5</v>
      </c>
      <c r="L30" s="4"/>
      <c r="M30" s="4"/>
    </row>
    <row r="31" spans="1:13" x14ac:dyDescent="0.2">
      <c r="A31">
        <v>29</v>
      </c>
      <c r="B31" s="10" t="s">
        <v>18</v>
      </c>
      <c r="C31" s="11">
        <v>0.70208333333333339</v>
      </c>
      <c r="D31" s="11">
        <v>0.74513888888888891</v>
      </c>
      <c r="E31" s="12" t="s">
        <v>44</v>
      </c>
      <c r="G31" s="10"/>
      <c r="H31" s="11"/>
      <c r="I31" s="11"/>
      <c r="J31" s="12"/>
      <c r="K31">
        <f ca="1">COUNTIF(OFFSET($C$2,A31,0,41-A31,1), "&lt;"&amp;D31)</f>
        <v>3</v>
      </c>
      <c r="L31" s="4"/>
      <c r="M31" s="4"/>
    </row>
    <row r="32" spans="1:13" x14ac:dyDescent="0.2">
      <c r="A32" s="2">
        <v>30</v>
      </c>
      <c r="B32" s="13" t="s">
        <v>38</v>
      </c>
      <c r="C32" s="14">
        <v>0.72083333333333333</v>
      </c>
      <c r="D32" s="14">
        <v>0.76736111111111116</v>
      </c>
      <c r="E32" s="15" t="s">
        <v>45</v>
      </c>
      <c r="F32" s="19"/>
      <c r="G32" s="19"/>
      <c r="H32" s="20"/>
      <c r="I32" s="20"/>
      <c r="J32" s="19"/>
      <c r="K32">
        <f ca="1">COUNTIF(OFFSET($C$2,A32,0,41-A32,1), "&lt;"&amp;D32)</f>
        <v>3</v>
      </c>
      <c r="L32" s="4"/>
      <c r="M32" s="4"/>
    </row>
    <row r="33" spans="1:13" x14ac:dyDescent="0.2">
      <c r="A33">
        <v>31</v>
      </c>
      <c r="B33" s="10" t="s">
        <v>19</v>
      </c>
      <c r="C33" s="11">
        <v>0.73888888888888893</v>
      </c>
      <c r="D33" s="11">
        <v>0.77638888888888891</v>
      </c>
      <c r="E33" s="12" t="s">
        <v>44</v>
      </c>
      <c r="G33" s="10"/>
      <c r="H33" s="11"/>
      <c r="I33" s="11"/>
      <c r="J33" s="12"/>
      <c r="K33">
        <f ca="1">COUNTIF(OFFSET($C$2,A33,0,41-A33,1), "&lt;"&amp;D33)</f>
        <v>2</v>
      </c>
      <c r="L33" s="4"/>
      <c r="M33" s="4"/>
    </row>
    <row r="34" spans="1:13" x14ac:dyDescent="0.2">
      <c r="A34" s="2">
        <v>32</v>
      </c>
      <c r="B34" s="13" t="s">
        <v>39</v>
      </c>
      <c r="C34" s="14">
        <v>0.74513888888888891</v>
      </c>
      <c r="D34" s="14">
        <v>0.79166666666666663</v>
      </c>
      <c r="E34" s="15" t="s">
        <v>45</v>
      </c>
      <c r="F34" s="19"/>
      <c r="G34" s="19"/>
      <c r="H34" s="20"/>
      <c r="I34" s="20"/>
      <c r="J34" s="19"/>
      <c r="K34">
        <f ca="1">COUNTIF(OFFSET($C$2,A34,0,41-A34,1), "&lt;"&amp;D34)</f>
        <v>3</v>
      </c>
      <c r="L34" s="4"/>
      <c r="M34" s="4"/>
    </row>
    <row r="35" spans="1:13" x14ac:dyDescent="0.2">
      <c r="A35">
        <v>33</v>
      </c>
      <c r="B35" s="10" t="s">
        <v>40</v>
      </c>
      <c r="C35" s="11">
        <v>0.77638888888888891</v>
      </c>
      <c r="D35" s="11">
        <v>0.81944444444444453</v>
      </c>
      <c r="E35" s="12" t="s">
        <v>45</v>
      </c>
      <c r="G35" s="10"/>
      <c r="H35" s="11"/>
      <c r="I35" s="11"/>
      <c r="J35" s="12"/>
      <c r="K35">
        <f ca="1">COUNTIF(OFFSET($C$2,A35,0,41-A35,1), "&lt;"&amp;D35)</f>
        <v>3</v>
      </c>
      <c r="L35" s="4"/>
      <c r="M35" s="4"/>
    </row>
    <row r="36" spans="1:13" x14ac:dyDescent="0.2">
      <c r="A36" s="2">
        <v>34</v>
      </c>
      <c r="B36" s="13" t="s">
        <v>20</v>
      </c>
      <c r="C36" s="14">
        <v>0.78055555555555556</v>
      </c>
      <c r="D36" s="14">
        <v>0.81805555555555554</v>
      </c>
      <c r="E36" s="15" t="s">
        <v>44</v>
      </c>
      <c r="F36" s="19"/>
      <c r="G36" s="19"/>
      <c r="H36" s="20"/>
      <c r="I36" s="20"/>
      <c r="J36" s="19"/>
      <c r="K36">
        <f ca="1">COUNTIF(OFFSET($C$2,A36,0,41-A36,1), "&lt;"&amp;D36)</f>
        <v>1</v>
      </c>
      <c r="L36" s="4"/>
      <c r="M36" s="4"/>
    </row>
    <row r="37" spans="1:13" x14ac:dyDescent="0.2">
      <c r="A37">
        <v>35</v>
      </c>
      <c r="B37" s="10" t="s">
        <v>41</v>
      </c>
      <c r="C37" s="11">
        <v>0.81805555555555554</v>
      </c>
      <c r="D37" s="11">
        <v>0.86111111111111116</v>
      </c>
      <c r="E37" s="12" t="s">
        <v>45</v>
      </c>
      <c r="G37" s="10"/>
      <c r="H37" s="11"/>
      <c r="I37" s="11"/>
      <c r="J37" s="12"/>
      <c r="K37">
        <f ca="1">COUNTIF(OFFSET($C$2,A37,0,41-A37,1), "&lt;"&amp;D37)</f>
        <v>2</v>
      </c>
      <c r="L37" s="4"/>
      <c r="M37" s="4"/>
    </row>
    <row r="38" spans="1:13" x14ac:dyDescent="0.2">
      <c r="A38" s="2">
        <v>36</v>
      </c>
      <c r="B38" s="13" t="s">
        <v>21</v>
      </c>
      <c r="C38" s="14">
        <v>0.82916666666666661</v>
      </c>
      <c r="D38" s="14">
        <v>0.8666666666666667</v>
      </c>
      <c r="E38" s="15" t="s">
        <v>44</v>
      </c>
      <c r="F38" s="19"/>
      <c r="G38" s="19"/>
      <c r="H38" s="20"/>
      <c r="I38" s="20"/>
      <c r="J38" s="19"/>
      <c r="K38">
        <f ca="1">COUNTIF(OFFSET($C$2,A38,0,41-A38,1), "&lt;"&amp;D38)</f>
        <v>1</v>
      </c>
      <c r="L38" s="4"/>
      <c r="M38" s="4"/>
    </row>
    <row r="39" spans="1:13" x14ac:dyDescent="0.2">
      <c r="A39">
        <v>37</v>
      </c>
      <c r="B39" s="10" t="s">
        <v>42</v>
      </c>
      <c r="C39" s="11">
        <v>0.8666666666666667</v>
      </c>
      <c r="D39" s="11">
        <v>0.90972222222222221</v>
      </c>
      <c r="E39" s="12" t="s">
        <v>45</v>
      </c>
      <c r="G39" s="10"/>
      <c r="H39" s="11"/>
      <c r="I39" s="11"/>
      <c r="J39" s="12"/>
      <c r="K39">
        <f ca="1">COUNTIF(OFFSET($C$2,A39,0,41-A39,1), "&lt;"&amp;D39)</f>
        <v>2</v>
      </c>
      <c r="L39" s="4"/>
      <c r="M39" s="4"/>
    </row>
    <row r="40" spans="1:13" x14ac:dyDescent="0.2">
      <c r="A40" s="2">
        <v>38</v>
      </c>
      <c r="B40" s="13" t="s">
        <v>22</v>
      </c>
      <c r="C40" s="14">
        <v>0.87430555555555556</v>
      </c>
      <c r="D40" s="14">
        <v>0.91180555555555554</v>
      </c>
      <c r="E40" s="15" t="s">
        <v>44</v>
      </c>
      <c r="F40" s="19"/>
      <c r="G40" s="19"/>
      <c r="H40" s="20"/>
      <c r="I40" s="20"/>
      <c r="J40" s="19"/>
      <c r="K40">
        <f ca="1">COUNTIF(OFFSET($C$2,A40,0,41-A40,1), "&lt;"&amp;D40)</f>
        <v>1</v>
      </c>
      <c r="L40" s="4"/>
      <c r="M40" s="4"/>
    </row>
    <row r="41" spans="1:13" x14ac:dyDescent="0.2">
      <c r="A41">
        <v>39</v>
      </c>
      <c r="B41" s="10" t="s">
        <v>43</v>
      </c>
      <c r="C41" s="11">
        <v>0.91180555555555554</v>
      </c>
      <c r="D41" s="11">
        <v>0.95486111111111116</v>
      </c>
      <c r="E41" s="12" t="s">
        <v>45</v>
      </c>
      <c r="G41" s="10"/>
      <c r="H41" s="11"/>
      <c r="I41" s="11"/>
      <c r="J41" s="12"/>
      <c r="K41">
        <f ca="1">COUNTIF(OFFSET($C$2,A41,0,41-A41,1), "&lt;"&amp;D41)</f>
        <v>2</v>
      </c>
      <c r="L41" s="4"/>
      <c r="M41" s="4"/>
    </row>
    <row r="42" spans="1:13" x14ac:dyDescent="0.2">
      <c r="A42" s="2">
        <v>40</v>
      </c>
      <c r="B42" s="13" t="s">
        <v>23</v>
      </c>
      <c r="C42" s="14">
        <v>0.92291666666666661</v>
      </c>
      <c r="D42" s="14">
        <v>0.9604166666666667</v>
      </c>
      <c r="E42" s="15" t="s">
        <v>44</v>
      </c>
      <c r="F42" s="19"/>
      <c r="G42" s="19"/>
      <c r="H42" s="19"/>
      <c r="I42" s="19"/>
      <c r="J42" s="19"/>
      <c r="K42">
        <f ca="1">COUNTIF(OFFSET($C$2,A42,0,41-A42,1), "&lt;"&amp;D42)</f>
        <v>1</v>
      </c>
      <c r="L42" s="4"/>
      <c r="M42" s="4"/>
    </row>
  </sheetData>
  <mergeCells count="2">
    <mergeCell ref="B1:E1"/>
    <mergeCell ref="F1:J1"/>
  </mergeCells>
  <conditionalFormatting sqref="K3:K42">
    <cfRule type="cellIs" dxfId="2" priority="1" operator="equal">
      <formula>$N$3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zoomScale="111" workbookViewId="0">
      <selection activeCell="H16" sqref="H16"/>
    </sheetView>
  </sheetViews>
  <sheetFormatPr baseColWidth="10" defaultColWidth="8.83203125" defaultRowHeight="15" x14ac:dyDescent="0.2"/>
  <cols>
    <col min="2" max="2" width="13.6640625" bestFit="1" customWidth="1"/>
    <col min="3" max="3" width="16.83203125" customWidth="1"/>
    <col min="4" max="4" width="11" bestFit="1" customWidth="1"/>
    <col min="5" max="5" width="12" customWidth="1"/>
    <col min="6" max="6" width="20.6640625" customWidth="1"/>
    <col min="8" max="9" width="11" bestFit="1" customWidth="1"/>
  </cols>
  <sheetData>
    <row r="1" spans="1:9" x14ac:dyDescent="0.2">
      <c r="B1" s="1" t="s">
        <v>0</v>
      </c>
      <c r="C1" s="1" t="s">
        <v>1</v>
      </c>
      <c r="D1" s="1" t="s">
        <v>2</v>
      </c>
      <c r="E1" s="1" t="s">
        <v>3</v>
      </c>
      <c r="F1" s="3" t="s">
        <v>53</v>
      </c>
    </row>
    <row r="2" spans="1:9" x14ac:dyDescent="0.2">
      <c r="A2">
        <v>1</v>
      </c>
      <c r="B2" t="s">
        <v>4</v>
      </c>
      <c r="C2" s="4">
        <v>0.23541666666666669</v>
      </c>
      <c r="D2" s="4">
        <v>0.2902777777777778</v>
      </c>
      <c r="E2" t="s">
        <v>44</v>
      </c>
      <c r="F2">
        <f ca="1">COUNTIF(OFFSET($C$1,A2,0,41-A2,1), "&lt;"&amp;D2)</f>
        <v>4</v>
      </c>
      <c r="H2" s="9" t="s">
        <v>54</v>
      </c>
      <c r="I2">
        <f ca="1">MAX(F2:F41)</f>
        <v>6</v>
      </c>
    </row>
    <row r="3" spans="1:9" x14ac:dyDescent="0.2">
      <c r="A3" s="2">
        <v>2</v>
      </c>
      <c r="B3" s="2" t="s">
        <v>5</v>
      </c>
      <c r="C3" s="5">
        <v>0.25972222222222224</v>
      </c>
      <c r="D3" s="5">
        <v>0.31458333333333333</v>
      </c>
      <c r="E3" s="2" t="s">
        <v>44</v>
      </c>
      <c r="F3">
        <f ca="1">COUNTIF(OFFSET($C$1,A3,0,41-A3,1), "&lt;"&amp;D3)</f>
        <v>6</v>
      </c>
      <c r="H3" s="4"/>
      <c r="I3" s="4"/>
    </row>
    <row r="4" spans="1:9" x14ac:dyDescent="0.2">
      <c r="A4">
        <v>3</v>
      </c>
      <c r="B4" t="s">
        <v>24</v>
      </c>
      <c r="C4" s="4">
        <v>0.27638888888888885</v>
      </c>
      <c r="D4" s="4">
        <v>0.33194444444444443</v>
      </c>
      <c r="E4" t="s">
        <v>45</v>
      </c>
      <c r="F4">
        <f ca="1">COUNTIF(OFFSET($C$1,A4,0,41-A4,1), "&lt;"&amp;D4)</f>
        <v>6</v>
      </c>
      <c r="H4" s="4"/>
      <c r="I4" s="4"/>
    </row>
    <row r="5" spans="1:9" x14ac:dyDescent="0.2">
      <c r="A5" s="2">
        <v>4</v>
      </c>
      <c r="B5" s="2" t="s">
        <v>6</v>
      </c>
      <c r="C5" s="5">
        <v>0.28055555555555556</v>
      </c>
      <c r="D5" s="5">
        <v>0.3354166666666667</v>
      </c>
      <c r="E5" s="2" t="s">
        <v>44</v>
      </c>
      <c r="F5">
        <f ca="1">COUNTIF(OFFSET($C$1,A5,0,41-A5,1), "&lt;"&amp;D5)</f>
        <v>5</v>
      </c>
      <c r="H5" s="4"/>
      <c r="I5" s="4"/>
    </row>
    <row r="6" spans="1:9" x14ac:dyDescent="0.2">
      <c r="A6">
        <v>5</v>
      </c>
      <c r="B6" t="s">
        <v>25</v>
      </c>
      <c r="C6" s="4">
        <v>0.2902777777777778</v>
      </c>
      <c r="D6" s="4">
        <v>0.34583333333333338</v>
      </c>
      <c r="E6" t="s">
        <v>45</v>
      </c>
      <c r="F6">
        <f ca="1">COUNTIF(OFFSET($C$1,A6,0,41-A6,1), "&lt;"&amp;D6)</f>
        <v>5</v>
      </c>
      <c r="H6" s="4"/>
      <c r="I6" s="4"/>
    </row>
    <row r="7" spans="1:9" x14ac:dyDescent="0.2">
      <c r="A7" s="2">
        <v>6</v>
      </c>
      <c r="B7" s="2" t="s">
        <v>7</v>
      </c>
      <c r="C7" s="5">
        <v>0.30069444444444443</v>
      </c>
      <c r="D7" s="5">
        <v>0.35625000000000001</v>
      </c>
      <c r="E7" s="2" t="s">
        <v>44</v>
      </c>
      <c r="F7">
        <f ca="1">COUNTIF(OFFSET($C$1,A7,0,41-A7,1), "&lt;"&amp;D7)</f>
        <v>5</v>
      </c>
      <c r="H7" s="4"/>
      <c r="I7" s="4"/>
    </row>
    <row r="8" spans="1:9" x14ac:dyDescent="0.2">
      <c r="A8">
        <v>7</v>
      </c>
      <c r="B8" t="s">
        <v>26</v>
      </c>
      <c r="C8" s="4">
        <v>0.30069444444444443</v>
      </c>
      <c r="D8" s="4">
        <v>0.35625000000000001</v>
      </c>
      <c r="E8" t="s">
        <v>45</v>
      </c>
      <c r="F8">
        <f ca="1">COUNTIF(OFFSET($C$1,A8,0,41-A8,1), "&lt;"&amp;D8)</f>
        <v>4</v>
      </c>
      <c r="H8" s="4"/>
      <c r="I8" s="4"/>
    </row>
    <row r="9" spans="1:9" x14ac:dyDescent="0.2">
      <c r="A9" s="2">
        <v>8</v>
      </c>
      <c r="B9" s="2" t="s">
        <v>8</v>
      </c>
      <c r="C9" s="5">
        <v>0.32500000000000001</v>
      </c>
      <c r="D9" s="5">
        <v>0.38055555555555554</v>
      </c>
      <c r="E9" s="2" t="s">
        <v>44</v>
      </c>
      <c r="F9">
        <f ca="1">COUNTIF(OFFSET($C$1,A9,0,41-A9,1), "&lt;"&amp;D9)</f>
        <v>3</v>
      </c>
      <c r="H9" s="4"/>
      <c r="I9" s="4"/>
    </row>
    <row r="10" spans="1:9" x14ac:dyDescent="0.2">
      <c r="A10">
        <v>9</v>
      </c>
      <c r="B10" t="s">
        <v>27</v>
      </c>
      <c r="C10" s="4">
        <v>0.34236111111111112</v>
      </c>
      <c r="D10" s="4">
        <v>0.3979166666666667</v>
      </c>
      <c r="E10" t="s">
        <v>45</v>
      </c>
      <c r="F10">
        <f ca="1">COUNTIF(OFFSET($C$1,A10,0,41-A10,1), "&lt;"&amp;D10)</f>
        <v>4</v>
      </c>
      <c r="H10" s="4"/>
      <c r="I10" s="4"/>
    </row>
    <row r="11" spans="1:9" x14ac:dyDescent="0.2">
      <c r="A11" s="2">
        <v>10</v>
      </c>
      <c r="B11" s="2" t="s">
        <v>9</v>
      </c>
      <c r="C11" s="5">
        <v>0.34583333333333338</v>
      </c>
      <c r="D11" s="5">
        <v>0.40138888888888885</v>
      </c>
      <c r="E11" s="2" t="s">
        <v>44</v>
      </c>
      <c r="F11">
        <f ca="1">COUNTIF(OFFSET($C$1,A11,0,41-A11,1), "&lt;"&amp;D11)</f>
        <v>3</v>
      </c>
      <c r="H11" s="4"/>
      <c r="I11" s="4"/>
    </row>
    <row r="12" spans="1:9" x14ac:dyDescent="0.2">
      <c r="A12">
        <v>11</v>
      </c>
      <c r="B12" t="s">
        <v>28</v>
      </c>
      <c r="C12" s="4">
        <v>0.38750000000000001</v>
      </c>
      <c r="D12" s="4">
        <v>0.44305555555555554</v>
      </c>
      <c r="E12" t="s">
        <v>45</v>
      </c>
      <c r="F12">
        <f ca="1">COUNTIF(OFFSET($C$1,A12,0,41-A12,1), "&lt;"&amp;D12)</f>
        <v>4</v>
      </c>
      <c r="H12" s="4"/>
      <c r="I12" s="4"/>
    </row>
    <row r="13" spans="1:9" x14ac:dyDescent="0.2">
      <c r="A13" s="2">
        <v>12</v>
      </c>
      <c r="B13" s="2" t="s">
        <v>10</v>
      </c>
      <c r="C13" s="5">
        <v>0.39583333333333331</v>
      </c>
      <c r="D13" s="5">
        <v>0.44861111111111113</v>
      </c>
      <c r="E13" s="2" t="s">
        <v>44</v>
      </c>
      <c r="F13">
        <f ca="1">COUNTIF(OFFSET($C$1,A13,0,41-A13,1), "&lt;"&amp;D13)</f>
        <v>3</v>
      </c>
      <c r="H13" s="4"/>
      <c r="I13" s="4"/>
    </row>
    <row r="14" spans="1:9" x14ac:dyDescent="0.2">
      <c r="A14">
        <v>13</v>
      </c>
      <c r="B14" t="s">
        <v>29</v>
      </c>
      <c r="C14" s="4">
        <v>0.42986111111111108</v>
      </c>
      <c r="D14" s="4">
        <v>0.4861111111111111</v>
      </c>
      <c r="E14" t="s">
        <v>45</v>
      </c>
      <c r="F14">
        <f ca="1">COUNTIF(OFFSET($C$1,A14,0,41-A14,1), "&lt;"&amp;D14)</f>
        <v>4</v>
      </c>
      <c r="H14" s="4"/>
      <c r="I14" s="4"/>
    </row>
    <row r="15" spans="1:9" x14ac:dyDescent="0.2">
      <c r="A15" s="2">
        <v>14</v>
      </c>
      <c r="B15" s="2" t="s">
        <v>11</v>
      </c>
      <c r="C15" s="5">
        <v>0.4375</v>
      </c>
      <c r="D15" s="5">
        <v>0.49027777777777781</v>
      </c>
      <c r="E15" s="2" t="s">
        <v>44</v>
      </c>
      <c r="F15">
        <f ca="1">COUNTIF(OFFSET($C$1,A15,0,41-A15,1), "&lt;"&amp;D15)</f>
        <v>3</v>
      </c>
      <c r="H15" s="4"/>
      <c r="I15" s="4"/>
    </row>
    <row r="16" spans="1:9" x14ac:dyDescent="0.2">
      <c r="A16">
        <v>15</v>
      </c>
      <c r="B16" t="s">
        <v>30</v>
      </c>
      <c r="C16" s="4">
        <v>0.47152777777777777</v>
      </c>
      <c r="D16" s="4">
        <v>0.52777777777777779</v>
      </c>
      <c r="E16" t="s">
        <v>45</v>
      </c>
      <c r="F16">
        <f ca="1">COUNTIF(OFFSET($C$1,A16,0,41-A16,1), "&lt;"&amp;D16)</f>
        <v>4</v>
      </c>
      <c r="H16" s="4"/>
      <c r="I16" s="4"/>
    </row>
    <row r="17" spans="1:9" x14ac:dyDescent="0.2">
      <c r="A17" s="2">
        <v>16</v>
      </c>
      <c r="B17" s="2" t="s">
        <v>12</v>
      </c>
      <c r="C17" s="5">
        <v>0.47916666666666669</v>
      </c>
      <c r="D17" s="5">
        <v>0.53194444444444444</v>
      </c>
      <c r="E17" s="2" t="s">
        <v>44</v>
      </c>
      <c r="F17">
        <f ca="1">COUNTIF(OFFSET($C$1,A17,0,41-A17,1), "&lt;"&amp;D17)</f>
        <v>3</v>
      </c>
      <c r="H17" s="4"/>
      <c r="I17" s="4"/>
    </row>
    <row r="18" spans="1:9" x14ac:dyDescent="0.2">
      <c r="A18">
        <v>17</v>
      </c>
      <c r="B18" t="s">
        <v>31</v>
      </c>
      <c r="C18" s="4">
        <v>0.5131944444444444</v>
      </c>
      <c r="D18" s="4">
        <v>0.56944444444444442</v>
      </c>
      <c r="E18" t="s">
        <v>45</v>
      </c>
      <c r="F18">
        <f ca="1">COUNTIF(OFFSET($C$1,A18,0,41-A18,1), "&lt;"&amp;D18)</f>
        <v>4</v>
      </c>
      <c r="H18" s="4"/>
      <c r="I18" s="4"/>
    </row>
    <row r="19" spans="1:9" x14ac:dyDescent="0.2">
      <c r="A19" s="2">
        <v>18</v>
      </c>
      <c r="B19" s="2" t="s">
        <v>13</v>
      </c>
      <c r="C19" s="5">
        <v>0.52083333333333337</v>
      </c>
      <c r="D19" s="5">
        <v>0.57430555555555551</v>
      </c>
      <c r="E19" s="2" t="s">
        <v>44</v>
      </c>
      <c r="F19">
        <f ca="1">COUNTIF(OFFSET($C$1,A19,0,41-A19,1), "&lt;"&amp;D19)</f>
        <v>3</v>
      </c>
      <c r="H19" s="4"/>
      <c r="I19" s="4"/>
    </row>
    <row r="20" spans="1:9" x14ac:dyDescent="0.2">
      <c r="A20">
        <v>19</v>
      </c>
      <c r="B20" t="s">
        <v>32</v>
      </c>
      <c r="C20" s="4">
        <v>0.55486111111111114</v>
      </c>
      <c r="D20" s="4">
        <v>0.61111111111111105</v>
      </c>
      <c r="E20" t="s">
        <v>45</v>
      </c>
      <c r="F20">
        <f ca="1">COUNTIF(OFFSET($C$1,A20,0,41-A20,1), "&lt;"&amp;D20)</f>
        <v>4</v>
      </c>
      <c r="H20" s="4"/>
      <c r="I20" s="4"/>
    </row>
    <row r="21" spans="1:9" x14ac:dyDescent="0.2">
      <c r="A21" s="2">
        <v>20</v>
      </c>
      <c r="B21" s="2" t="s">
        <v>14</v>
      </c>
      <c r="C21" s="5">
        <v>0.5625</v>
      </c>
      <c r="D21" s="5">
        <v>0.61597222222222225</v>
      </c>
      <c r="E21" s="2" t="s">
        <v>44</v>
      </c>
      <c r="F21">
        <f ca="1">COUNTIF(OFFSET($C$1,A21,0,41-A21,1), "&lt;"&amp;D21)</f>
        <v>4</v>
      </c>
      <c r="H21" s="4"/>
      <c r="I21" s="4"/>
    </row>
    <row r="22" spans="1:9" x14ac:dyDescent="0.2">
      <c r="A22">
        <v>21</v>
      </c>
      <c r="B22" t="s">
        <v>15</v>
      </c>
      <c r="C22" s="4">
        <v>0.59861111111111109</v>
      </c>
      <c r="D22" s="4">
        <v>0.65555555555555556</v>
      </c>
      <c r="E22" t="s">
        <v>44</v>
      </c>
      <c r="F22">
        <f ca="1">COUNTIF(OFFSET($C$1,A22,0,41-A22,1), "&lt;"&amp;D22)</f>
        <v>4</v>
      </c>
      <c r="H22" s="4"/>
      <c r="I22" s="4"/>
    </row>
    <row r="23" spans="1:9" x14ac:dyDescent="0.2">
      <c r="A23" s="2">
        <v>22</v>
      </c>
      <c r="B23" s="2" t="s">
        <v>33</v>
      </c>
      <c r="C23" s="5">
        <v>0.6020833333333333</v>
      </c>
      <c r="D23" s="5">
        <v>0.65833333333333333</v>
      </c>
      <c r="E23" s="2" t="s">
        <v>45</v>
      </c>
      <c r="F23">
        <f ca="1">COUNTIF(OFFSET($C$1,A23,0,41-A23,1), "&lt;"&amp;D23)</f>
        <v>4</v>
      </c>
      <c r="H23" s="4"/>
      <c r="I23" s="4"/>
    </row>
    <row r="24" spans="1:9" x14ac:dyDescent="0.2">
      <c r="A24">
        <v>23</v>
      </c>
      <c r="B24" t="s">
        <v>16</v>
      </c>
      <c r="C24" s="4">
        <v>0.61527777777777781</v>
      </c>
      <c r="D24" s="4">
        <v>0.67222222222222217</v>
      </c>
      <c r="E24" t="s">
        <v>44</v>
      </c>
      <c r="F24">
        <f ca="1">COUNTIF(OFFSET($C$1,A24,0,41-A24,1), "&lt;"&amp;D24)</f>
        <v>4</v>
      </c>
      <c r="H24" s="4"/>
      <c r="I24" s="4"/>
    </row>
    <row r="25" spans="1:9" x14ac:dyDescent="0.2">
      <c r="A25" s="2">
        <v>24</v>
      </c>
      <c r="B25" s="2" t="s">
        <v>34</v>
      </c>
      <c r="C25" s="5">
        <v>0.63750000000000007</v>
      </c>
      <c r="D25" s="5">
        <v>0.6972222222222223</v>
      </c>
      <c r="E25" s="2" t="s">
        <v>45</v>
      </c>
      <c r="F25">
        <f ca="1">COUNTIF(OFFSET($C$1,A25,0,41-A25,1), "&lt;"&amp;D25)</f>
        <v>4</v>
      </c>
      <c r="H25" s="4"/>
      <c r="I25" s="4"/>
    </row>
    <row r="26" spans="1:9" x14ac:dyDescent="0.2">
      <c r="A26">
        <v>25</v>
      </c>
      <c r="B26" t="s">
        <v>17</v>
      </c>
      <c r="C26" s="4">
        <v>0.65694444444444444</v>
      </c>
      <c r="D26" s="4">
        <v>0.71388888888888891</v>
      </c>
      <c r="E26" t="s">
        <v>44</v>
      </c>
      <c r="F26">
        <f ca="1">COUNTIF(OFFSET($C$1,A26,0,41-A26,1), "&lt;"&amp;D26)</f>
        <v>5</v>
      </c>
      <c r="H26" s="4"/>
      <c r="I26" s="4"/>
    </row>
    <row r="27" spans="1:9" x14ac:dyDescent="0.2">
      <c r="A27" s="2">
        <v>26</v>
      </c>
      <c r="B27" s="2" t="s">
        <v>35</v>
      </c>
      <c r="C27" s="5">
        <v>0.65833333333333333</v>
      </c>
      <c r="D27" s="5">
        <v>0.71805555555555556</v>
      </c>
      <c r="E27" s="2" t="s">
        <v>45</v>
      </c>
      <c r="F27">
        <f ca="1">COUNTIF(OFFSET($C$1,A27,0,41-A27,1), "&lt;"&amp;D27)</f>
        <v>4</v>
      </c>
      <c r="H27" s="4"/>
      <c r="I27" s="4"/>
    </row>
    <row r="28" spans="1:9" x14ac:dyDescent="0.2">
      <c r="A28">
        <v>27</v>
      </c>
      <c r="B28" t="s">
        <v>36</v>
      </c>
      <c r="C28" s="4">
        <v>0.6791666666666667</v>
      </c>
      <c r="D28" s="4">
        <v>0.73958333333333337</v>
      </c>
      <c r="E28" t="s">
        <v>45</v>
      </c>
      <c r="F28">
        <f ca="1">COUNTIF(OFFSET($C$1,A28,0,41-A28,1), "&lt;"&amp;D28)</f>
        <v>5</v>
      </c>
      <c r="H28" s="4"/>
      <c r="I28" s="4"/>
    </row>
    <row r="29" spans="1:9" x14ac:dyDescent="0.2">
      <c r="A29" s="2">
        <v>28</v>
      </c>
      <c r="B29" s="2" t="s">
        <v>37</v>
      </c>
      <c r="C29" s="5">
        <v>0.70000000000000007</v>
      </c>
      <c r="D29" s="5">
        <v>0.76041666666666663</v>
      </c>
      <c r="E29" s="2" t="s">
        <v>45</v>
      </c>
      <c r="F29">
        <f ca="1">COUNTIF(OFFSET($C$1,A29,0,41-A29,1), "&lt;"&amp;D29)</f>
        <v>5</v>
      </c>
      <c r="H29" s="4"/>
      <c r="I29" s="4"/>
    </row>
    <row r="30" spans="1:9" x14ac:dyDescent="0.2">
      <c r="A30">
        <v>29</v>
      </c>
      <c r="B30" t="s">
        <v>18</v>
      </c>
      <c r="C30" s="4">
        <v>0.70208333333333339</v>
      </c>
      <c r="D30" s="4">
        <v>0.75902777777777775</v>
      </c>
      <c r="E30" t="s">
        <v>44</v>
      </c>
      <c r="F30">
        <f ca="1">COUNTIF(OFFSET($C$1,A30,0,41-A30,1), "&lt;"&amp;D30)</f>
        <v>4</v>
      </c>
      <c r="H30" s="4"/>
      <c r="I30" s="4"/>
    </row>
    <row r="31" spans="1:9" x14ac:dyDescent="0.2">
      <c r="A31" s="2">
        <v>30</v>
      </c>
      <c r="B31" s="2" t="s">
        <v>38</v>
      </c>
      <c r="C31" s="5">
        <v>0.72083333333333333</v>
      </c>
      <c r="D31" s="5">
        <v>0.78125</v>
      </c>
      <c r="E31" s="2" t="s">
        <v>45</v>
      </c>
      <c r="F31">
        <f ca="1">COUNTIF(OFFSET($C$1,A31,0,41-A31,1), "&lt;"&amp;D31)</f>
        <v>5</v>
      </c>
      <c r="H31" s="4"/>
      <c r="I31" s="4"/>
    </row>
    <row r="32" spans="1:9" x14ac:dyDescent="0.2">
      <c r="A32">
        <v>31</v>
      </c>
      <c r="B32" t="s">
        <v>19</v>
      </c>
      <c r="C32" s="4">
        <v>0.73888888888888893</v>
      </c>
      <c r="D32" s="4">
        <v>0.79027777777777775</v>
      </c>
      <c r="E32" t="s">
        <v>44</v>
      </c>
      <c r="F32">
        <f ca="1">COUNTIF(OFFSET($C$1,A32,0,41-A32,1), "&lt;"&amp;D32)</f>
        <v>4</v>
      </c>
      <c r="H32" s="4"/>
      <c r="I32" s="4"/>
    </row>
    <row r="33" spans="1:9" x14ac:dyDescent="0.2">
      <c r="A33" s="2">
        <v>32</v>
      </c>
      <c r="B33" s="2" t="s">
        <v>39</v>
      </c>
      <c r="C33" s="5">
        <v>0.74513888888888891</v>
      </c>
      <c r="D33" s="5">
        <v>0.80555555555555547</v>
      </c>
      <c r="E33" s="2" t="s">
        <v>45</v>
      </c>
      <c r="F33">
        <f ca="1">COUNTIF(OFFSET($C$1,A33,0,41-A33,1), "&lt;"&amp;D33)</f>
        <v>3</v>
      </c>
      <c r="H33" s="4"/>
      <c r="I33" s="4"/>
    </row>
    <row r="34" spans="1:9" x14ac:dyDescent="0.2">
      <c r="A34">
        <v>33</v>
      </c>
      <c r="B34" t="s">
        <v>40</v>
      </c>
      <c r="C34" s="4">
        <v>0.77638888888888891</v>
      </c>
      <c r="D34" s="4">
        <v>0.83333333333333337</v>
      </c>
      <c r="E34" t="s">
        <v>45</v>
      </c>
      <c r="F34">
        <f ca="1">COUNTIF(OFFSET($C$1,A34,0,41-A34,1), "&lt;"&amp;D34)</f>
        <v>4</v>
      </c>
      <c r="H34" s="4"/>
      <c r="I34" s="4"/>
    </row>
    <row r="35" spans="1:9" x14ac:dyDescent="0.2">
      <c r="A35" s="2">
        <v>34</v>
      </c>
      <c r="B35" s="2" t="s">
        <v>20</v>
      </c>
      <c r="C35" s="5">
        <v>0.78055555555555556</v>
      </c>
      <c r="D35" s="5">
        <v>0.83194444444444438</v>
      </c>
      <c r="E35" s="2" t="s">
        <v>44</v>
      </c>
      <c r="F35">
        <f ca="1">COUNTIF(OFFSET($C$1,A35,0,41-A35,1), "&lt;"&amp;D35)</f>
        <v>3</v>
      </c>
      <c r="H35" s="4"/>
      <c r="I35" s="4"/>
    </row>
    <row r="36" spans="1:9" x14ac:dyDescent="0.2">
      <c r="A36">
        <v>35</v>
      </c>
      <c r="B36" t="s">
        <v>41</v>
      </c>
      <c r="C36" s="4">
        <v>0.81805555555555554</v>
      </c>
      <c r="D36" s="4">
        <v>0.875</v>
      </c>
      <c r="E36" t="s">
        <v>45</v>
      </c>
      <c r="F36">
        <f ca="1">COUNTIF(OFFSET($C$1,A36,0,41-A36,1), "&lt;"&amp;D36)</f>
        <v>4</v>
      </c>
      <c r="H36" s="4"/>
      <c r="I36" s="4"/>
    </row>
    <row r="37" spans="1:9" x14ac:dyDescent="0.2">
      <c r="A37" s="2">
        <v>36</v>
      </c>
      <c r="B37" s="2" t="s">
        <v>21</v>
      </c>
      <c r="C37" s="5">
        <v>0.82916666666666661</v>
      </c>
      <c r="D37" s="5">
        <v>0.88055555555555554</v>
      </c>
      <c r="E37" s="2" t="s">
        <v>44</v>
      </c>
      <c r="F37">
        <f ca="1">COUNTIF(OFFSET($C$1,A37,0,41-A37,1), "&lt;"&amp;D37)</f>
        <v>3</v>
      </c>
      <c r="H37" s="4"/>
      <c r="I37" s="4"/>
    </row>
    <row r="38" spans="1:9" x14ac:dyDescent="0.2">
      <c r="A38">
        <v>37</v>
      </c>
      <c r="B38" t="s">
        <v>42</v>
      </c>
      <c r="C38" s="4">
        <v>0.8666666666666667</v>
      </c>
      <c r="D38" s="4">
        <v>0.92361111111111116</v>
      </c>
      <c r="E38" t="s">
        <v>45</v>
      </c>
      <c r="F38">
        <f ca="1">COUNTIF(OFFSET($C$1,A38,0,41-A38,1), "&lt;"&amp;D38)</f>
        <v>4</v>
      </c>
      <c r="H38" s="4"/>
      <c r="I38" s="4"/>
    </row>
    <row r="39" spans="1:9" x14ac:dyDescent="0.2">
      <c r="A39" s="2">
        <v>38</v>
      </c>
      <c r="B39" s="2" t="s">
        <v>22</v>
      </c>
      <c r="C39" s="5">
        <v>0.87430555555555556</v>
      </c>
      <c r="D39" s="5">
        <v>0.92569444444444438</v>
      </c>
      <c r="E39" s="2" t="s">
        <v>44</v>
      </c>
      <c r="F39">
        <f ca="1">COUNTIF(OFFSET($C$1,A39,0,41-A39,1), "&lt;"&amp;D39)</f>
        <v>3</v>
      </c>
      <c r="H39" s="4"/>
      <c r="I39" s="4"/>
    </row>
    <row r="40" spans="1:9" x14ac:dyDescent="0.2">
      <c r="A40">
        <v>39</v>
      </c>
      <c r="B40" t="s">
        <v>43</v>
      </c>
      <c r="C40" s="4">
        <v>0.91180555555555554</v>
      </c>
      <c r="D40" s="4">
        <v>0.96875</v>
      </c>
      <c r="E40" t="s">
        <v>45</v>
      </c>
      <c r="F40">
        <f ca="1">COUNTIF(OFFSET($C$1,A40,0,41-A40,1), "&lt;"&amp;D40)</f>
        <v>2</v>
      </c>
      <c r="H40" s="4"/>
      <c r="I40" s="4"/>
    </row>
    <row r="41" spans="1:9" x14ac:dyDescent="0.2">
      <c r="A41" s="2">
        <v>40</v>
      </c>
      <c r="B41" s="2" t="s">
        <v>23</v>
      </c>
      <c r="C41" s="5">
        <v>0.92291666666666661</v>
      </c>
      <c r="D41" s="5">
        <v>0.97430555555555554</v>
      </c>
      <c r="E41" s="2" t="s">
        <v>44</v>
      </c>
      <c r="F41">
        <f ca="1">COUNTIF(OFFSET($C$1,A41,0,41-A41,1), "&lt;"&amp;D41)</f>
        <v>1</v>
      </c>
      <c r="H41" s="4"/>
      <c r="I41" s="4"/>
    </row>
  </sheetData>
  <sortState xmlns:xlrd2="http://schemas.microsoft.com/office/spreadsheetml/2017/richdata2" ref="B2:F41">
    <sortCondition ref="C2:C41"/>
  </sortState>
  <conditionalFormatting sqref="F2:F41">
    <cfRule type="cellIs" dxfId="1" priority="1" operator="equal">
      <formula>$I$2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DC19-FA85-0340-8DC3-8CEE101A161A}">
  <dimension ref="A1:I41"/>
  <sheetViews>
    <sheetView zoomScale="111" workbookViewId="0">
      <selection activeCell="J16" sqref="J16:J17"/>
    </sheetView>
  </sheetViews>
  <sheetFormatPr baseColWidth="10" defaultColWidth="8.83203125" defaultRowHeight="15" x14ac:dyDescent="0.2"/>
  <cols>
    <col min="2" max="2" width="13.6640625" bestFit="1" customWidth="1"/>
    <col min="3" max="3" width="16.83203125" customWidth="1"/>
    <col min="4" max="4" width="11" bestFit="1" customWidth="1"/>
    <col min="5" max="5" width="12" customWidth="1"/>
    <col min="6" max="6" width="20.6640625" customWidth="1"/>
    <col min="8" max="9" width="11" bestFit="1" customWidth="1"/>
  </cols>
  <sheetData>
    <row r="1" spans="1:9" x14ac:dyDescent="0.2">
      <c r="B1" s="1" t="s">
        <v>0</v>
      </c>
      <c r="C1" s="1" t="s">
        <v>1</v>
      </c>
      <c r="D1" s="1" t="s">
        <v>2</v>
      </c>
      <c r="E1" s="1" t="s">
        <v>3</v>
      </c>
      <c r="F1" s="3" t="s">
        <v>53</v>
      </c>
    </row>
    <row r="2" spans="1:9" x14ac:dyDescent="0.2">
      <c r="A2">
        <v>1</v>
      </c>
      <c r="B2" t="s">
        <v>4</v>
      </c>
      <c r="C2" s="4">
        <v>0.23541666666666669</v>
      </c>
      <c r="D2" s="4">
        <v>0.2902777777777778</v>
      </c>
      <c r="E2" t="s">
        <v>44</v>
      </c>
      <c r="F2">
        <f ca="1">COUNTIF(OFFSET($C$1,A2,0,41-A2,1), "&lt;"&amp;D2)</f>
        <v>4</v>
      </c>
      <c r="H2" s="9" t="s">
        <v>54</v>
      </c>
      <c r="I2">
        <f ca="1">MAX(F2:F41)</f>
        <v>6</v>
      </c>
    </row>
    <row r="3" spans="1:9" x14ac:dyDescent="0.2">
      <c r="A3" s="2">
        <v>2</v>
      </c>
      <c r="B3" s="2" t="s">
        <v>5</v>
      </c>
      <c r="C3" s="5">
        <v>0.25972222222222224</v>
      </c>
      <c r="D3" s="5">
        <v>0.31458333333333333</v>
      </c>
      <c r="E3" s="2" t="s">
        <v>44</v>
      </c>
      <c r="F3">
        <f ca="1">COUNTIF(OFFSET($C$1,A3,0,41-A3,1), "&lt;"&amp;D3)</f>
        <v>6</v>
      </c>
      <c r="H3" s="4"/>
      <c r="I3" s="4"/>
    </row>
    <row r="4" spans="1:9" x14ac:dyDescent="0.2">
      <c r="A4">
        <v>3</v>
      </c>
      <c r="B4" t="s">
        <v>24</v>
      </c>
      <c r="C4" s="4">
        <v>0.27638888888888885</v>
      </c>
      <c r="D4" s="4">
        <v>0.33194444444444443</v>
      </c>
      <c r="E4" t="s">
        <v>45</v>
      </c>
      <c r="F4">
        <f ca="1">COUNTIF(OFFSET($C$1,A4,0,41-A4,1), "&lt;"&amp;D4)</f>
        <v>6</v>
      </c>
      <c r="H4" s="4"/>
      <c r="I4" s="4"/>
    </row>
    <row r="5" spans="1:9" x14ac:dyDescent="0.2">
      <c r="A5" s="2">
        <v>4</v>
      </c>
      <c r="B5" s="2" t="s">
        <v>6</v>
      </c>
      <c r="C5" s="5">
        <v>0.28055555555555556</v>
      </c>
      <c r="D5" s="5">
        <v>0.3354166666666667</v>
      </c>
      <c r="E5" s="2" t="s">
        <v>44</v>
      </c>
      <c r="F5">
        <f ca="1">COUNTIF(OFFSET($C$1,A5,0,41-A5,1), "&lt;"&amp;D5)</f>
        <v>5</v>
      </c>
      <c r="H5" s="4"/>
      <c r="I5" s="4"/>
    </row>
    <row r="6" spans="1:9" x14ac:dyDescent="0.2">
      <c r="A6">
        <v>5</v>
      </c>
      <c r="B6" t="s">
        <v>25</v>
      </c>
      <c r="C6" s="4">
        <v>0.2902777777777778</v>
      </c>
      <c r="D6" s="4">
        <v>0.34583333333333338</v>
      </c>
      <c r="E6" t="s">
        <v>45</v>
      </c>
      <c r="F6">
        <f ca="1">COUNTIF(OFFSET($C$1,A6,0,41-A6,1), "&lt;"&amp;D6)</f>
        <v>5</v>
      </c>
      <c r="H6" s="4"/>
      <c r="I6" s="4"/>
    </row>
    <row r="7" spans="1:9" x14ac:dyDescent="0.2">
      <c r="A7" s="2">
        <v>6</v>
      </c>
      <c r="B7" s="2" t="s">
        <v>7</v>
      </c>
      <c r="C7" s="5">
        <v>0.30069444444444443</v>
      </c>
      <c r="D7" s="5">
        <v>0.35625000000000001</v>
      </c>
      <c r="E7" s="2" t="s">
        <v>44</v>
      </c>
      <c r="F7">
        <f ca="1">COUNTIF(OFFSET($C$1,A7,0,41-A7,1), "&lt;"&amp;D7)</f>
        <v>5</v>
      </c>
      <c r="H7" s="4"/>
      <c r="I7" s="4"/>
    </row>
    <row r="8" spans="1:9" x14ac:dyDescent="0.2">
      <c r="A8">
        <v>7</v>
      </c>
      <c r="B8" t="s">
        <v>26</v>
      </c>
      <c r="C8" s="4">
        <v>0.30069444444444443</v>
      </c>
      <c r="D8" s="4">
        <v>0.35625000000000001</v>
      </c>
      <c r="E8" t="s">
        <v>45</v>
      </c>
      <c r="F8">
        <f ca="1">COUNTIF(OFFSET($C$1,A8,0,41-A8,1), "&lt;"&amp;D8)</f>
        <v>4</v>
      </c>
      <c r="H8" s="4"/>
      <c r="I8" s="4"/>
    </row>
    <row r="9" spans="1:9" x14ac:dyDescent="0.2">
      <c r="A9" s="2">
        <v>8</v>
      </c>
      <c r="B9" s="2" t="s">
        <v>8</v>
      </c>
      <c r="C9" s="5">
        <v>0.32500000000000001</v>
      </c>
      <c r="D9" s="5">
        <v>0.38055555555555554</v>
      </c>
      <c r="E9" s="2" t="s">
        <v>44</v>
      </c>
      <c r="F9">
        <f ca="1">COUNTIF(OFFSET($C$1,A9,0,41-A9,1), "&lt;"&amp;D9)</f>
        <v>3</v>
      </c>
      <c r="H9" s="4"/>
      <c r="I9" s="4"/>
    </row>
    <row r="10" spans="1:9" x14ac:dyDescent="0.2">
      <c r="A10">
        <v>9</v>
      </c>
      <c r="B10" t="s">
        <v>27</v>
      </c>
      <c r="C10" s="4">
        <v>0.34236111111111112</v>
      </c>
      <c r="D10" s="4">
        <v>0.3979166666666667</v>
      </c>
      <c r="E10" t="s">
        <v>45</v>
      </c>
      <c r="F10">
        <f ca="1">COUNTIF(OFFSET($C$1,A10,0,41-A10,1), "&lt;"&amp;D10)</f>
        <v>4</v>
      </c>
      <c r="H10" s="4"/>
      <c r="I10" s="4"/>
    </row>
    <row r="11" spans="1:9" x14ac:dyDescent="0.2">
      <c r="A11" s="2">
        <v>10</v>
      </c>
      <c r="B11" s="2" t="s">
        <v>9</v>
      </c>
      <c r="C11" s="5">
        <v>0.34583333333333338</v>
      </c>
      <c r="D11" s="5">
        <v>0.40138888888888885</v>
      </c>
      <c r="E11" s="2" t="s">
        <v>44</v>
      </c>
      <c r="F11">
        <f ca="1">COUNTIF(OFFSET($C$1,A11,0,41-A11,1), "&lt;"&amp;D11)</f>
        <v>3</v>
      </c>
      <c r="H11" s="4"/>
      <c r="I11" s="4"/>
    </row>
    <row r="12" spans="1:9" x14ac:dyDescent="0.2">
      <c r="A12">
        <v>11</v>
      </c>
      <c r="B12" t="s">
        <v>28</v>
      </c>
      <c r="C12" s="4">
        <v>0.38750000000000001</v>
      </c>
      <c r="D12" s="4">
        <v>0.44305555555555554</v>
      </c>
      <c r="E12" t="s">
        <v>45</v>
      </c>
      <c r="F12">
        <f ca="1">COUNTIF(OFFSET($C$1,A12,0,41-A12,1), "&lt;"&amp;D12)</f>
        <v>4</v>
      </c>
      <c r="H12" s="4"/>
      <c r="I12" s="4"/>
    </row>
    <row r="13" spans="1:9" x14ac:dyDescent="0.2">
      <c r="A13" s="2">
        <v>12</v>
      </c>
      <c r="B13" s="2" t="s">
        <v>10</v>
      </c>
      <c r="C13" s="5">
        <v>0.39583333333333331</v>
      </c>
      <c r="D13" s="5">
        <v>0.44861111111111113</v>
      </c>
      <c r="E13" s="2" t="s">
        <v>44</v>
      </c>
      <c r="F13">
        <f ca="1">COUNTIF(OFFSET($C$1,A13,0,41-A13,1), "&lt;"&amp;D13)</f>
        <v>3</v>
      </c>
      <c r="H13" s="4"/>
      <c r="I13" s="4"/>
    </row>
    <row r="14" spans="1:9" x14ac:dyDescent="0.2">
      <c r="A14">
        <v>13</v>
      </c>
      <c r="B14" t="s">
        <v>29</v>
      </c>
      <c r="C14" s="4">
        <v>0.42986111111111108</v>
      </c>
      <c r="D14" s="4">
        <v>0.4861111111111111</v>
      </c>
      <c r="E14" t="s">
        <v>45</v>
      </c>
      <c r="F14">
        <f ca="1">COUNTIF(OFFSET($C$1,A14,0,41-A14,1), "&lt;"&amp;D14)</f>
        <v>4</v>
      </c>
      <c r="H14" s="4"/>
      <c r="I14" s="4"/>
    </row>
    <row r="15" spans="1:9" x14ac:dyDescent="0.2">
      <c r="A15" s="2">
        <v>14</v>
      </c>
      <c r="B15" s="2" t="s">
        <v>11</v>
      </c>
      <c r="C15" s="5">
        <v>0.4375</v>
      </c>
      <c r="D15" s="5">
        <v>0.49027777777777781</v>
      </c>
      <c r="E15" s="2" t="s">
        <v>44</v>
      </c>
      <c r="F15">
        <f ca="1">COUNTIF(OFFSET($C$1,A15,0,41-A15,1), "&lt;"&amp;D15)</f>
        <v>3</v>
      </c>
      <c r="H15" s="4"/>
      <c r="I15" s="4"/>
    </row>
    <row r="16" spans="1:9" x14ac:dyDescent="0.2">
      <c r="A16">
        <v>15</v>
      </c>
      <c r="B16" t="s">
        <v>30</v>
      </c>
      <c r="C16" s="4">
        <v>0.47152777777777777</v>
      </c>
      <c r="D16" s="4">
        <v>0.52777777777777779</v>
      </c>
      <c r="E16" t="s">
        <v>45</v>
      </c>
      <c r="F16">
        <f ca="1">COUNTIF(OFFSET($C$1,A16,0,41-A16,1), "&lt;"&amp;D16)</f>
        <v>4</v>
      </c>
      <c r="H16" s="4"/>
      <c r="I16" s="4"/>
    </row>
    <row r="17" spans="1:9" x14ac:dyDescent="0.2">
      <c r="A17" s="2">
        <v>16</v>
      </c>
      <c r="B17" s="2" t="s">
        <v>12</v>
      </c>
      <c r="C17" s="5">
        <v>0.47916666666666669</v>
      </c>
      <c r="D17" s="5">
        <v>0.53194444444444444</v>
      </c>
      <c r="E17" s="2" t="s">
        <v>44</v>
      </c>
      <c r="F17">
        <f ca="1">COUNTIF(OFFSET($C$1,A17,0,41-A17,1), "&lt;"&amp;D17)</f>
        <v>3</v>
      </c>
      <c r="H17" s="4"/>
      <c r="I17" s="4"/>
    </row>
    <row r="18" spans="1:9" x14ac:dyDescent="0.2">
      <c r="A18">
        <v>17</v>
      </c>
      <c r="B18" t="s">
        <v>31</v>
      </c>
      <c r="C18" s="4">
        <v>0.5131944444444444</v>
      </c>
      <c r="D18" s="4">
        <v>0.56944444444444442</v>
      </c>
      <c r="E18" t="s">
        <v>45</v>
      </c>
      <c r="F18">
        <f ca="1">COUNTIF(OFFSET($C$1,A18,0,41-A18,1), "&lt;"&amp;D18)</f>
        <v>4</v>
      </c>
      <c r="H18" s="4"/>
      <c r="I18" s="4"/>
    </row>
    <row r="19" spans="1:9" x14ac:dyDescent="0.2">
      <c r="A19" s="2">
        <v>18</v>
      </c>
      <c r="B19" s="2" t="s">
        <v>13</v>
      </c>
      <c r="C19" s="5">
        <v>0.52083333333333337</v>
      </c>
      <c r="D19" s="5">
        <v>0.57430555555555551</v>
      </c>
      <c r="E19" s="2" t="s">
        <v>44</v>
      </c>
      <c r="F19">
        <f ca="1">COUNTIF(OFFSET($C$1,A19,0,41-A19,1), "&lt;"&amp;D19)</f>
        <v>3</v>
      </c>
      <c r="H19" s="4"/>
      <c r="I19" s="4"/>
    </row>
    <row r="20" spans="1:9" x14ac:dyDescent="0.2">
      <c r="A20">
        <v>19</v>
      </c>
      <c r="B20" t="s">
        <v>32</v>
      </c>
      <c r="C20" s="4">
        <v>0.55486111111111114</v>
      </c>
      <c r="D20" s="4">
        <v>0.61111111111111105</v>
      </c>
      <c r="E20" t="s">
        <v>45</v>
      </c>
      <c r="F20">
        <f ca="1">COUNTIF(OFFSET($C$1,A20,0,41-A20,1), "&lt;"&amp;D20)</f>
        <v>4</v>
      </c>
      <c r="H20" s="4"/>
      <c r="I20" s="4"/>
    </row>
    <row r="21" spans="1:9" x14ac:dyDescent="0.2">
      <c r="A21" s="2">
        <v>20</v>
      </c>
      <c r="B21" s="2" t="s">
        <v>14</v>
      </c>
      <c r="C21" s="5">
        <v>0.5625</v>
      </c>
      <c r="D21" s="5">
        <v>0.61597222222222225</v>
      </c>
      <c r="E21" s="2" t="s">
        <v>44</v>
      </c>
      <c r="F21">
        <f ca="1">COUNTIF(OFFSET($C$1,A21,0,41-A21,1), "&lt;"&amp;D21)</f>
        <v>4</v>
      </c>
      <c r="H21" s="4"/>
      <c r="I21" s="4"/>
    </row>
    <row r="22" spans="1:9" x14ac:dyDescent="0.2">
      <c r="A22">
        <v>21</v>
      </c>
      <c r="B22" t="s">
        <v>15</v>
      </c>
      <c r="C22" s="4">
        <v>0.59861111111111109</v>
      </c>
      <c r="D22" s="4">
        <v>0.65555555555555556</v>
      </c>
      <c r="E22" t="s">
        <v>44</v>
      </c>
      <c r="F22">
        <f ca="1">COUNTIF(OFFSET($C$1,A22,0,41-A22,1), "&lt;"&amp;D22)</f>
        <v>4</v>
      </c>
      <c r="H22" s="4"/>
      <c r="I22" s="4"/>
    </row>
    <row r="23" spans="1:9" x14ac:dyDescent="0.2">
      <c r="A23" s="2">
        <v>22</v>
      </c>
      <c r="B23" s="2" t="s">
        <v>33</v>
      </c>
      <c r="C23" s="5">
        <v>0.6020833333333333</v>
      </c>
      <c r="D23" s="5">
        <v>0.65833333333333333</v>
      </c>
      <c r="E23" s="2" t="s">
        <v>45</v>
      </c>
      <c r="F23">
        <f ca="1">COUNTIF(OFFSET($C$1,A23,0,41-A23,1), "&lt;"&amp;D23)</f>
        <v>4</v>
      </c>
      <c r="H23" s="4"/>
      <c r="I23" s="4"/>
    </row>
    <row r="24" spans="1:9" x14ac:dyDescent="0.2">
      <c r="A24">
        <v>23</v>
      </c>
      <c r="B24" t="s">
        <v>16</v>
      </c>
      <c r="C24" s="4">
        <v>0.61527777777777781</v>
      </c>
      <c r="D24" s="4">
        <v>0.67222222222222217</v>
      </c>
      <c r="E24" t="s">
        <v>44</v>
      </c>
      <c r="F24">
        <f ca="1">COUNTIF(OFFSET($C$1,A24,0,41-A24,1), "&lt;"&amp;D24)</f>
        <v>4</v>
      </c>
      <c r="H24" s="4"/>
      <c r="I24" s="4"/>
    </row>
    <row r="25" spans="1:9" x14ac:dyDescent="0.2">
      <c r="A25" s="2">
        <v>24</v>
      </c>
      <c r="B25" s="2" t="s">
        <v>34</v>
      </c>
      <c r="C25" s="5">
        <v>0.63750000000000007</v>
      </c>
      <c r="D25" s="5">
        <v>0.6972222222222223</v>
      </c>
      <c r="E25" s="2" t="s">
        <v>45</v>
      </c>
      <c r="F25">
        <f ca="1">COUNTIF(OFFSET($C$1,A25,0,41-A25,1), "&lt;"&amp;D25)</f>
        <v>4</v>
      </c>
      <c r="H25" s="4"/>
      <c r="I25" s="4"/>
    </row>
    <row r="26" spans="1:9" x14ac:dyDescent="0.2">
      <c r="A26">
        <v>25</v>
      </c>
      <c r="B26" t="s">
        <v>17</v>
      </c>
      <c r="C26" s="4">
        <v>0.65694444444444444</v>
      </c>
      <c r="D26" s="4">
        <v>0.71388888888888891</v>
      </c>
      <c r="E26" t="s">
        <v>44</v>
      </c>
      <c r="F26">
        <f ca="1">COUNTIF(OFFSET($C$1,A26,0,41-A26,1), "&lt;"&amp;D26)</f>
        <v>5</v>
      </c>
      <c r="H26" s="4"/>
      <c r="I26" s="4"/>
    </row>
    <row r="27" spans="1:9" x14ac:dyDescent="0.2">
      <c r="A27" s="2">
        <v>26</v>
      </c>
      <c r="B27" s="2" t="s">
        <v>35</v>
      </c>
      <c r="C27" s="5">
        <v>0.65833333333333333</v>
      </c>
      <c r="D27" s="5">
        <v>0.71805555555555556</v>
      </c>
      <c r="E27" s="2" t="s">
        <v>45</v>
      </c>
      <c r="F27">
        <f ca="1">COUNTIF(OFFSET($C$1,A27,0,41-A27,1), "&lt;"&amp;D27)</f>
        <v>4</v>
      </c>
      <c r="H27" s="4"/>
      <c r="I27" s="4"/>
    </row>
    <row r="28" spans="1:9" x14ac:dyDescent="0.2">
      <c r="A28">
        <v>27</v>
      </c>
      <c r="B28" t="s">
        <v>36</v>
      </c>
      <c r="C28" s="4">
        <v>0.6791666666666667</v>
      </c>
      <c r="D28" s="4">
        <v>0.73958333333333337</v>
      </c>
      <c r="E28" t="s">
        <v>45</v>
      </c>
      <c r="F28">
        <f ca="1">COUNTIF(OFFSET($C$1,A28,0,41-A28,1), "&lt;"&amp;D28)</f>
        <v>5</v>
      </c>
      <c r="H28" s="4"/>
      <c r="I28" s="4"/>
    </row>
    <row r="29" spans="1:9" x14ac:dyDescent="0.2">
      <c r="A29" s="2">
        <v>28</v>
      </c>
      <c r="B29" s="2" t="s">
        <v>37</v>
      </c>
      <c r="C29" s="5">
        <v>0.70000000000000007</v>
      </c>
      <c r="D29" s="5">
        <v>0.76041666666666663</v>
      </c>
      <c r="E29" s="2" t="s">
        <v>45</v>
      </c>
      <c r="F29">
        <f ca="1">COUNTIF(OFFSET($C$1,A29,0,41-A29,1), "&lt;"&amp;D29)</f>
        <v>5</v>
      </c>
      <c r="H29" s="4"/>
      <c r="I29" s="4"/>
    </row>
    <row r="30" spans="1:9" x14ac:dyDescent="0.2">
      <c r="A30">
        <v>29</v>
      </c>
      <c r="B30" t="s">
        <v>18</v>
      </c>
      <c r="C30" s="4">
        <v>0.70208333333333339</v>
      </c>
      <c r="D30" s="4">
        <v>0.75902777777777775</v>
      </c>
      <c r="E30" t="s">
        <v>44</v>
      </c>
      <c r="F30">
        <f ca="1">COUNTIF(OFFSET($C$1,A30,0,41-A30,1), "&lt;"&amp;D30)</f>
        <v>4</v>
      </c>
      <c r="H30" s="4"/>
      <c r="I30" s="4"/>
    </row>
    <row r="31" spans="1:9" x14ac:dyDescent="0.2">
      <c r="A31" s="2">
        <v>30</v>
      </c>
      <c r="B31" s="2" t="s">
        <v>38</v>
      </c>
      <c r="C31" s="5">
        <v>0.72083333333333333</v>
      </c>
      <c r="D31" s="5">
        <v>0.78125</v>
      </c>
      <c r="E31" s="2" t="s">
        <v>45</v>
      </c>
      <c r="F31">
        <f ca="1">COUNTIF(OFFSET($C$1,A31,0,41-A31,1), "&lt;"&amp;D31)</f>
        <v>5</v>
      </c>
      <c r="H31" s="4"/>
      <c r="I31" s="4"/>
    </row>
    <row r="32" spans="1:9" x14ac:dyDescent="0.2">
      <c r="A32">
        <v>31</v>
      </c>
      <c r="B32" t="s">
        <v>19</v>
      </c>
      <c r="C32" s="4">
        <v>0.73888888888888893</v>
      </c>
      <c r="D32" s="4">
        <v>0.79027777777777775</v>
      </c>
      <c r="E32" t="s">
        <v>44</v>
      </c>
      <c r="F32">
        <f ca="1">COUNTIF(OFFSET($C$1,A32,0,41-A32,1), "&lt;"&amp;D32)</f>
        <v>4</v>
      </c>
      <c r="H32" s="4"/>
      <c r="I32" s="4"/>
    </row>
    <row r="33" spans="1:9" x14ac:dyDescent="0.2">
      <c r="A33" s="2">
        <v>32</v>
      </c>
      <c r="B33" s="2" t="s">
        <v>39</v>
      </c>
      <c r="C33" s="5">
        <v>0.74513888888888891</v>
      </c>
      <c r="D33" s="5">
        <v>0.80555555555555547</v>
      </c>
      <c r="E33" s="2" t="s">
        <v>45</v>
      </c>
      <c r="F33">
        <f ca="1">COUNTIF(OFFSET($C$1,A33,0,41-A33,1), "&lt;"&amp;D33)</f>
        <v>3</v>
      </c>
      <c r="H33" s="4"/>
      <c r="I33" s="4"/>
    </row>
    <row r="34" spans="1:9" x14ac:dyDescent="0.2">
      <c r="A34">
        <v>33</v>
      </c>
      <c r="B34" t="s">
        <v>40</v>
      </c>
      <c r="C34" s="4">
        <v>0.77638888888888891</v>
      </c>
      <c r="D34" s="4">
        <v>0.83333333333333337</v>
      </c>
      <c r="E34" t="s">
        <v>45</v>
      </c>
      <c r="F34">
        <f ca="1">COUNTIF(OFFSET($C$1,A34,0,41-A34,1), "&lt;"&amp;D34)</f>
        <v>4</v>
      </c>
      <c r="H34" s="4"/>
      <c r="I34" s="4"/>
    </row>
    <row r="35" spans="1:9" x14ac:dyDescent="0.2">
      <c r="A35" s="2">
        <v>34</v>
      </c>
      <c r="B35" s="2" t="s">
        <v>20</v>
      </c>
      <c r="C35" s="5">
        <v>0.78055555555555556</v>
      </c>
      <c r="D35" s="5">
        <v>0.83194444444444438</v>
      </c>
      <c r="E35" s="2" t="s">
        <v>44</v>
      </c>
      <c r="F35">
        <f ca="1">COUNTIF(OFFSET($C$1,A35,0,41-A35,1), "&lt;"&amp;D35)</f>
        <v>3</v>
      </c>
      <c r="H35" s="4"/>
      <c r="I35" s="4"/>
    </row>
    <row r="36" spans="1:9" x14ac:dyDescent="0.2">
      <c r="A36">
        <v>35</v>
      </c>
      <c r="B36" t="s">
        <v>41</v>
      </c>
      <c r="C36" s="4">
        <v>0.81805555555555554</v>
      </c>
      <c r="D36" s="4">
        <v>0.875</v>
      </c>
      <c r="E36" t="s">
        <v>45</v>
      </c>
      <c r="F36">
        <f ca="1">COUNTIF(OFFSET($C$1,A36,0,41-A36,1), "&lt;"&amp;D36)</f>
        <v>4</v>
      </c>
      <c r="H36" s="4"/>
      <c r="I36" s="4"/>
    </row>
    <row r="37" spans="1:9" x14ac:dyDescent="0.2">
      <c r="A37" s="2">
        <v>36</v>
      </c>
      <c r="B37" s="2" t="s">
        <v>21</v>
      </c>
      <c r="C37" s="5">
        <v>0.82916666666666661</v>
      </c>
      <c r="D37" s="5">
        <v>0.88055555555555554</v>
      </c>
      <c r="E37" s="2" t="s">
        <v>44</v>
      </c>
      <c r="F37">
        <f ca="1">COUNTIF(OFFSET($C$1,A37,0,41-A37,1), "&lt;"&amp;D37)</f>
        <v>3</v>
      </c>
      <c r="H37" s="4"/>
      <c r="I37" s="4"/>
    </row>
    <row r="38" spans="1:9" x14ac:dyDescent="0.2">
      <c r="A38">
        <v>37</v>
      </c>
      <c r="B38" t="s">
        <v>42</v>
      </c>
      <c r="C38" s="4">
        <v>0.8666666666666667</v>
      </c>
      <c r="D38" s="4">
        <v>0.92361111111111116</v>
      </c>
      <c r="E38" t="s">
        <v>45</v>
      </c>
      <c r="F38">
        <f ca="1">COUNTIF(OFFSET($C$1,A38,0,41-A38,1), "&lt;"&amp;D38)</f>
        <v>4</v>
      </c>
      <c r="H38" s="4"/>
      <c r="I38" s="4"/>
    </row>
    <row r="39" spans="1:9" x14ac:dyDescent="0.2">
      <c r="A39" s="2">
        <v>38</v>
      </c>
      <c r="B39" s="2" t="s">
        <v>22</v>
      </c>
      <c r="C39" s="5">
        <v>0.87430555555555556</v>
      </c>
      <c r="D39" s="5">
        <v>0.92569444444444438</v>
      </c>
      <c r="E39" s="2" t="s">
        <v>44</v>
      </c>
      <c r="F39">
        <f ca="1">COUNTIF(OFFSET($C$1,A39,0,41-A39,1), "&lt;"&amp;D39)</f>
        <v>3</v>
      </c>
      <c r="H39" s="4"/>
      <c r="I39" s="4"/>
    </row>
    <row r="40" spans="1:9" x14ac:dyDescent="0.2">
      <c r="A40">
        <v>39</v>
      </c>
      <c r="B40" t="s">
        <v>43</v>
      </c>
      <c r="C40" s="4">
        <v>0.91180555555555554</v>
      </c>
      <c r="D40" s="4">
        <v>0.96875</v>
      </c>
      <c r="E40" t="s">
        <v>45</v>
      </c>
      <c r="F40">
        <f ca="1">COUNTIF(OFFSET($C$1,A40,0,41-A40,1), "&lt;"&amp;D40)</f>
        <v>2</v>
      </c>
      <c r="H40" s="4"/>
      <c r="I40" s="4"/>
    </row>
    <row r="41" spans="1:9" x14ac:dyDescent="0.2">
      <c r="A41" s="2">
        <v>40</v>
      </c>
      <c r="B41" s="2" t="s">
        <v>23</v>
      </c>
      <c r="C41" s="5">
        <v>0.92291666666666661</v>
      </c>
      <c r="D41" s="5">
        <v>0.97430555555555554</v>
      </c>
      <c r="E41" s="2" t="s">
        <v>44</v>
      </c>
      <c r="F41">
        <f ca="1">COUNTIF(OFFSET($C$1,A41,0,41-A41,1), "&lt;"&amp;D41)</f>
        <v>1</v>
      </c>
      <c r="H41" s="4"/>
      <c r="I41" s="4"/>
    </row>
  </sheetData>
  <conditionalFormatting sqref="F2:F41">
    <cfRule type="cellIs" dxfId="0" priority="1" operator="equal">
      <formula>$I$2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605F8-0385-4C48-8193-E9D59D2307B0}">
  <dimension ref="A1:L41"/>
  <sheetViews>
    <sheetView workbookViewId="0">
      <selection activeCell="L6" sqref="L6"/>
    </sheetView>
  </sheetViews>
  <sheetFormatPr baseColWidth="10" defaultColWidth="8.83203125" defaultRowHeight="15" x14ac:dyDescent="0.2"/>
  <cols>
    <col min="2" max="2" width="13.6640625" bestFit="1" customWidth="1"/>
    <col min="3" max="4" width="11" bestFit="1" customWidth="1"/>
    <col min="5" max="5" width="9" bestFit="1" customWidth="1"/>
    <col min="6" max="6" width="16.5" bestFit="1" customWidth="1"/>
    <col min="7" max="7" width="17.1640625" customWidth="1"/>
    <col min="8" max="9" width="20.5" bestFit="1" customWidth="1"/>
    <col min="10" max="10" width="11" bestFit="1" customWidth="1"/>
    <col min="11" max="11" width="16.6640625" bestFit="1" customWidth="1"/>
  </cols>
  <sheetData>
    <row r="1" spans="1:12" x14ac:dyDescent="0.2">
      <c r="B1" s="1" t="s">
        <v>0</v>
      </c>
      <c r="C1" s="1" t="s">
        <v>1</v>
      </c>
      <c r="D1" s="1" t="s">
        <v>2</v>
      </c>
      <c r="E1" s="1" t="s">
        <v>3</v>
      </c>
      <c r="F1" s="3" t="s">
        <v>46</v>
      </c>
      <c r="G1" s="3" t="s">
        <v>47</v>
      </c>
      <c r="H1" s="3" t="s">
        <v>50</v>
      </c>
      <c r="I1" s="3" t="s">
        <v>49</v>
      </c>
    </row>
    <row r="2" spans="1:12" x14ac:dyDescent="0.2">
      <c r="A2">
        <v>1</v>
      </c>
      <c r="B2" t="s">
        <v>4</v>
      </c>
      <c r="C2" s="4">
        <v>0.23541666666666669</v>
      </c>
      <c r="D2" s="4">
        <v>0.27638888888888885</v>
      </c>
      <c r="E2" t="s">
        <v>44</v>
      </c>
      <c r="F2">
        <f>COUNTIFS($C$2:$C$41, "&gt;"&amp;C2, $C$2:$C$41, "&lt;"&amp;D2)</f>
        <v>1</v>
      </c>
      <c r="G2">
        <f>COUNTIFS($C$2:$C$41, "&gt;="&amp;C2, $C$2:$C$41, "&lt;="&amp;D2)</f>
        <v>3</v>
      </c>
      <c r="H2">
        <f ca="1">COUNTIF(OFFSET($C$1,A2,0,41-A2,1), "&lt;="&amp;D2)</f>
        <v>3</v>
      </c>
      <c r="I2">
        <f ca="1">COUNTIF(OFFSET($C$1,A2,0,41-A2,1), "&lt;"&amp;D2)</f>
        <v>2</v>
      </c>
      <c r="J2" s="6"/>
      <c r="K2" s="4"/>
    </row>
    <row r="3" spans="1:12" x14ac:dyDescent="0.2">
      <c r="A3" s="7">
        <v>2</v>
      </c>
      <c r="B3" s="7" t="s">
        <v>5</v>
      </c>
      <c r="C3" s="8">
        <v>0.25972222222222224</v>
      </c>
      <c r="D3" s="8">
        <v>0.30069444444444443</v>
      </c>
      <c r="E3" s="7" t="s">
        <v>44</v>
      </c>
      <c r="F3">
        <f t="shared" ref="F3:F41" si="0">COUNTIFS($C$2:$C$41, "&gt;"&amp;C3, $C$2:$C$41, "&lt;"&amp;D3)</f>
        <v>3</v>
      </c>
      <c r="G3">
        <f t="shared" ref="G3:G41" si="1">COUNTIFS($C$2:$C$41, "&gt;="&amp;C3, $C$2:$C$41, "&lt;="&amp;D3)</f>
        <v>6</v>
      </c>
      <c r="H3">
        <f t="shared" ref="H3:H41" ca="1" si="2">COUNTIF(OFFSET($C$1,A3,0,41-A3,1), "&lt;="&amp;D3)</f>
        <v>6</v>
      </c>
      <c r="I3">
        <f ca="1">COUNTIF(OFFSET($C$1,A3,0,41-A3,1), "&lt;"&amp;D3)</f>
        <v>4</v>
      </c>
      <c r="J3" s="4"/>
      <c r="K3" s="9" t="s">
        <v>48</v>
      </c>
    </row>
    <row r="4" spans="1:12" x14ac:dyDescent="0.2">
      <c r="A4" s="7">
        <v>3</v>
      </c>
      <c r="B4" s="7" t="s">
        <v>24</v>
      </c>
      <c r="C4" s="8">
        <v>0.27638888888888885</v>
      </c>
      <c r="D4" s="8">
        <v>0.31805555555555554</v>
      </c>
      <c r="E4" s="7" t="s">
        <v>45</v>
      </c>
      <c r="F4">
        <f t="shared" si="0"/>
        <v>4</v>
      </c>
      <c r="G4">
        <f t="shared" si="1"/>
        <v>5</v>
      </c>
      <c r="H4">
        <f t="shared" ca="1" si="2"/>
        <v>5</v>
      </c>
      <c r="I4">
        <f ca="1">COUNTIF(OFFSET($C$1,A4,0,41-A4,1), "&lt;"&amp;D4)</f>
        <v>5</v>
      </c>
      <c r="J4" s="4"/>
      <c r="K4" s="6" t="s">
        <v>46</v>
      </c>
      <c r="L4">
        <f>MAX(F2:F41)</f>
        <v>4</v>
      </c>
    </row>
    <row r="5" spans="1:12" x14ac:dyDescent="0.2">
      <c r="A5" s="7">
        <v>4</v>
      </c>
      <c r="B5" s="7" t="s">
        <v>6</v>
      </c>
      <c r="C5" s="8">
        <v>0.28055555555555556</v>
      </c>
      <c r="D5" s="8">
        <v>0.3215277777777778</v>
      </c>
      <c r="E5" s="7" t="s">
        <v>44</v>
      </c>
      <c r="F5">
        <f t="shared" si="0"/>
        <v>3</v>
      </c>
      <c r="G5">
        <f t="shared" si="1"/>
        <v>4</v>
      </c>
      <c r="H5">
        <f t="shared" ca="1" si="2"/>
        <v>4</v>
      </c>
      <c r="I5">
        <f ca="1">COUNTIF(OFFSET($C$1,A5,0,41-A5,1), "&lt;"&amp;D5)</f>
        <v>4</v>
      </c>
      <c r="J5" s="4"/>
      <c r="K5" t="s">
        <v>47</v>
      </c>
      <c r="L5">
        <f>MAX(G2:G41)</f>
        <v>6</v>
      </c>
    </row>
    <row r="6" spans="1:12" x14ac:dyDescent="0.2">
      <c r="A6" s="7">
        <v>5</v>
      </c>
      <c r="B6" s="7" t="s">
        <v>25</v>
      </c>
      <c r="C6" s="8">
        <v>0.2902777777777778</v>
      </c>
      <c r="D6" s="8">
        <v>0.33194444444444443</v>
      </c>
      <c r="E6" s="7" t="s">
        <v>45</v>
      </c>
      <c r="F6">
        <f t="shared" si="0"/>
        <v>3</v>
      </c>
      <c r="G6">
        <f t="shared" si="1"/>
        <v>4</v>
      </c>
      <c r="H6">
        <f t="shared" ca="1" si="2"/>
        <v>4</v>
      </c>
      <c r="I6">
        <f ca="1">COUNTIF(OFFSET($C$1,A6,0,41-A6,1), "&lt;"&amp;D6)</f>
        <v>4</v>
      </c>
      <c r="J6" s="4"/>
      <c r="K6" t="s">
        <v>51</v>
      </c>
      <c r="L6">
        <f ca="1">MAX(I2:I41)</f>
        <v>5</v>
      </c>
    </row>
    <row r="7" spans="1:12" x14ac:dyDescent="0.2">
      <c r="A7" s="7">
        <v>6</v>
      </c>
      <c r="B7" s="7" t="s">
        <v>7</v>
      </c>
      <c r="C7" s="8">
        <v>0.30069444444444443</v>
      </c>
      <c r="D7" s="8">
        <v>0.34236111111111112</v>
      </c>
      <c r="E7" s="7" t="s">
        <v>44</v>
      </c>
      <c r="F7">
        <f t="shared" si="0"/>
        <v>1</v>
      </c>
      <c r="G7">
        <f t="shared" si="1"/>
        <v>4</v>
      </c>
      <c r="H7">
        <f t="shared" ca="1" si="2"/>
        <v>4</v>
      </c>
      <c r="I7">
        <f ca="1">COUNTIF(OFFSET($C$1,A7,0,41-A7,1), "&lt;"&amp;D7)</f>
        <v>3</v>
      </c>
      <c r="J7" s="4"/>
      <c r="K7" t="s">
        <v>52</v>
      </c>
      <c r="L7">
        <f ca="1">MAX(H2:H41)</f>
        <v>6</v>
      </c>
    </row>
    <row r="8" spans="1:12" x14ac:dyDescent="0.2">
      <c r="A8" s="7">
        <v>7</v>
      </c>
      <c r="B8" s="7" t="s">
        <v>26</v>
      </c>
      <c r="C8" s="8">
        <v>0.30069444444444443</v>
      </c>
      <c r="D8" s="8">
        <v>0.34236111111111112</v>
      </c>
      <c r="E8" s="7" t="s">
        <v>45</v>
      </c>
      <c r="F8">
        <f t="shared" si="0"/>
        <v>1</v>
      </c>
      <c r="G8">
        <f t="shared" si="1"/>
        <v>4</v>
      </c>
      <c r="H8">
        <f t="shared" ca="1" si="2"/>
        <v>3</v>
      </c>
      <c r="I8">
        <f ca="1">COUNTIF(OFFSET($C$1,A8,0,41-A8,1), "&lt;"&amp;D8)</f>
        <v>2</v>
      </c>
      <c r="J8" s="4"/>
      <c r="K8" s="4"/>
    </row>
    <row r="9" spans="1:12" x14ac:dyDescent="0.2">
      <c r="A9" s="2">
        <v>8</v>
      </c>
      <c r="B9" s="2" t="s">
        <v>8</v>
      </c>
      <c r="C9" s="5">
        <v>0.32500000000000001</v>
      </c>
      <c r="D9" s="5">
        <v>0.3666666666666667</v>
      </c>
      <c r="E9" s="2" t="s">
        <v>44</v>
      </c>
      <c r="F9">
        <f t="shared" si="0"/>
        <v>2</v>
      </c>
      <c r="G9">
        <f t="shared" si="1"/>
        <v>3</v>
      </c>
      <c r="H9">
        <f t="shared" ca="1" si="2"/>
        <v>3</v>
      </c>
      <c r="I9">
        <f ca="1">COUNTIF(OFFSET($C$1,A9,0,41-A9,1), "&lt;"&amp;D9)</f>
        <v>3</v>
      </c>
      <c r="J9" s="4"/>
      <c r="K9" s="4"/>
    </row>
    <row r="10" spans="1:12" x14ac:dyDescent="0.2">
      <c r="A10">
        <v>9</v>
      </c>
      <c r="B10" t="s">
        <v>27</v>
      </c>
      <c r="C10" s="4">
        <v>0.34236111111111112</v>
      </c>
      <c r="D10" s="4">
        <v>0.3840277777777778</v>
      </c>
      <c r="E10" t="s">
        <v>45</v>
      </c>
      <c r="F10">
        <f t="shared" si="0"/>
        <v>1</v>
      </c>
      <c r="G10">
        <f t="shared" si="1"/>
        <v>2</v>
      </c>
      <c r="H10">
        <f t="shared" ca="1" si="2"/>
        <v>2</v>
      </c>
      <c r="I10">
        <f ca="1">COUNTIF(OFFSET($C$1,A10,0,41-A10,1), "&lt;"&amp;D10)</f>
        <v>2</v>
      </c>
      <c r="J10" s="4"/>
      <c r="K10" s="4"/>
    </row>
    <row r="11" spans="1:12" x14ac:dyDescent="0.2">
      <c r="A11" s="2">
        <v>10</v>
      </c>
      <c r="B11" s="2" t="s">
        <v>9</v>
      </c>
      <c r="C11" s="5">
        <v>0.34583333333333338</v>
      </c>
      <c r="D11" s="5">
        <v>0.38750000000000001</v>
      </c>
      <c r="E11" s="2" t="s">
        <v>44</v>
      </c>
      <c r="F11">
        <f t="shared" si="0"/>
        <v>0</v>
      </c>
      <c r="G11">
        <f t="shared" si="1"/>
        <v>2</v>
      </c>
      <c r="H11">
        <f t="shared" ca="1" si="2"/>
        <v>2</v>
      </c>
      <c r="I11">
        <f ca="1">COUNTIF(OFFSET($C$1,A11,0,41-A11,1), "&lt;"&amp;D11)</f>
        <v>1</v>
      </c>
      <c r="J11" s="4"/>
      <c r="K11" s="4"/>
    </row>
    <row r="12" spans="1:12" x14ac:dyDescent="0.2">
      <c r="A12">
        <v>11</v>
      </c>
      <c r="B12" t="s">
        <v>28</v>
      </c>
      <c r="C12" s="4">
        <v>0.38750000000000001</v>
      </c>
      <c r="D12" s="4">
        <v>0.4291666666666667</v>
      </c>
      <c r="E12" t="s">
        <v>45</v>
      </c>
      <c r="F12">
        <f t="shared" si="0"/>
        <v>1</v>
      </c>
      <c r="G12">
        <f t="shared" si="1"/>
        <v>2</v>
      </c>
      <c r="H12">
        <f t="shared" ca="1" si="2"/>
        <v>2</v>
      </c>
      <c r="I12">
        <f ca="1">COUNTIF(OFFSET($C$1,A12,0,41-A12,1), "&lt;"&amp;D12)</f>
        <v>2</v>
      </c>
      <c r="J12" s="4"/>
      <c r="K12" s="4"/>
    </row>
    <row r="13" spans="1:12" x14ac:dyDescent="0.2">
      <c r="A13" s="2">
        <v>12</v>
      </c>
      <c r="B13" s="2" t="s">
        <v>10</v>
      </c>
      <c r="C13" s="5">
        <v>0.39583333333333331</v>
      </c>
      <c r="D13" s="5">
        <v>0.43472222222222223</v>
      </c>
      <c r="E13" s="2" t="s">
        <v>44</v>
      </c>
      <c r="F13">
        <f t="shared" si="0"/>
        <v>1</v>
      </c>
      <c r="G13">
        <f t="shared" si="1"/>
        <v>2</v>
      </c>
      <c r="H13">
        <f t="shared" ca="1" si="2"/>
        <v>2</v>
      </c>
      <c r="I13">
        <f ca="1">COUNTIF(OFFSET($C$1,A13,0,41-A13,1), "&lt;"&amp;D13)</f>
        <v>2</v>
      </c>
      <c r="J13" s="4"/>
      <c r="K13" s="4"/>
    </row>
    <row r="14" spans="1:12" x14ac:dyDescent="0.2">
      <c r="A14">
        <v>13</v>
      </c>
      <c r="B14" t="s">
        <v>29</v>
      </c>
      <c r="C14" s="4">
        <v>0.42986111111111108</v>
      </c>
      <c r="D14" s="4">
        <v>0.47222222222222227</v>
      </c>
      <c r="E14" t="s">
        <v>45</v>
      </c>
      <c r="F14">
        <f t="shared" si="0"/>
        <v>2</v>
      </c>
      <c r="G14">
        <f t="shared" si="1"/>
        <v>3</v>
      </c>
      <c r="H14">
        <f t="shared" ca="1" si="2"/>
        <v>3</v>
      </c>
      <c r="I14">
        <f ca="1">COUNTIF(OFFSET($C$1,A14,0,41-A14,1), "&lt;"&amp;D14)</f>
        <v>3</v>
      </c>
      <c r="J14" s="4"/>
      <c r="K14" s="4"/>
    </row>
    <row r="15" spans="1:12" x14ac:dyDescent="0.2">
      <c r="A15" s="2">
        <v>14</v>
      </c>
      <c r="B15" s="2" t="s">
        <v>11</v>
      </c>
      <c r="C15" s="5">
        <v>0.4375</v>
      </c>
      <c r="D15" s="5">
        <v>0.47638888888888892</v>
      </c>
      <c r="E15" s="2" t="s">
        <v>44</v>
      </c>
      <c r="F15">
        <f t="shared" si="0"/>
        <v>1</v>
      </c>
      <c r="G15">
        <f t="shared" si="1"/>
        <v>2</v>
      </c>
      <c r="H15">
        <f t="shared" ca="1" si="2"/>
        <v>2</v>
      </c>
      <c r="I15">
        <f ca="1">COUNTIF(OFFSET($C$1,A15,0,41-A15,1), "&lt;"&amp;D15)</f>
        <v>2</v>
      </c>
      <c r="J15" s="4"/>
      <c r="K15" s="4"/>
    </row>
    <row r="16" spans="1:12" x14ac:dyDescent="0.2">
      <c r="A16">
        <v>15</v>
      </c>
      <c r="B16" t="s">
        <v>30</v>
      </c>
      <c r="C16" s="4">
        <v>0.47152777777777777</v>
      </c>
      <c r="D16" s="4">
        <v>0.51388888888888895</v>
      </c>
      <c r="E16" t="s">
        <v>45</v>
      </c>
      <c r="F16">
        <f t="shared" si="0"/>
        <v>2</v>
      </c>
      <c r="G16">
        <f t="shared" si="1"/>
        <v>3</v>
      </c>
      <c r="H16">
        <f t="shared" ca="1" si="2"/>
        <v>3</v>
      </c>
      <c r="I16">
        <f ca="1">COUNTIF(OFFSET($C$1,A16,0,41-A16,1), "&lt;"&amp;D16)</f>
        <v>3</v>
      </c>
      <c r="J16" s="4"/>
      <c r="K16" s="4"/>
    </row>
    <row r="17" spans="1:11" x14ac:dyDescent="0.2">
      <c r="A17" s="2">
        <v>16</v>
      </c>
      <c r="B17" s="2" t="s">
        <v>12</v>
      </c>
      <c r="C17" s="5">
        <v>0.47916666666666669</v>
      </c>
      <c r="D17" s="5">
        <v>0.5180555555555556</v>
      </c>
      <c r="E17" s="2" t="s">
        <v>44</v>
      </c>
      <c r="F17">
        <f t="shared" si="0"/>
        <v>1</v>
      </c>
      <c r="G17">
        <f t="shared" si="1"/>
        <v>2</v>
      </c>
      <c r="H17">
        <f t="shared" ca="1" si="2"/>
        <v>2</v>
      </c>
      <c r="I17">
        <f ca="1">COUNTIF(OFFSET($C$1,A17,0,41-A17,1), "&lt;"&amp;D17)</f>
        <v>2</v>
      </c>
      <c r="J17" s="4"/>
      <c r="K17" s="4"/>
    </row>
    <row r="18" spans="1:11" x14ac:dyDescent="0.2">
      <c r="A18">
        <v>17</v>
      </c>
      <c r="B18" t="s">
        <v>31</v>
      </c>
      <c r="C18" s="4">
        <v>0.5131944444444444</v>
      </c>
      <c r="D18" s="4">
        <v>0.55555555555555558</v>
      </c>
      <c r="E18" t="s">
        <v>45</v>
      </c>
      <c r="F18">
        <f t="shared" si="0"/>
        <v>2</v>
      </c>
      <c r="G18">
        <f t="shared" si="1"/>
        <v>3</v>
      </c>
      <c r="H18">
        <f t="shared" ca="1" si="2"/>
        <v>3</v>
      </c>
      <c r="I18">
        <f ca="1">COUNTIF(OFFSET($C$1,A18,0,41-A18,1), "&lt;"&amp;D18)</f>
        <v>3</v>
      </c>
      <c r="J18" s="4"/>
      <c r="K18" s="4"/>
    </row>
    <row r="19" spans="1:11" x14ac:dyDescent="0.2">
      <c r="A19" s="2">
        <v>18</v>
      </c>
      <c r="B19" s="2" t="s">
        <v>13</v>
      </c>
      <c r="C19" s="5">
        <v>0.52083333333333337</v>
      </c>
      <c r="D19" s="5">
        <v>0.56041666666666667</v>
      </c>
      <c r="E19" s="2" t="s">
        <v>44</v>
      </c>
      <c r="F19">
        <f t="shared" si="0"/>
        <v>1</v>
      </c>
      <c r="G19">
        <f t="shared" si="1"/>
        <v>2</v>
      </c>
      <c r="H19">
        <f t="shared" ca="1" si="2"/>
        <v>2</v>
      </c>
      <c r="I19">
        <f ca="1">COUNTIF(OFFSET($C$1,A19,0,41-A19,1), "&lt;"&amp;D19)</f>
        <v>2</v>
      </c>
      <c r="J19" s="4"/>
      <c r="K19" s="4"/>
    </row>
    <row r="20" spans="1:11" x14ac:dyDescent="0.2">
      <c r="A20">
        <v>19</v>
      </c>
      <c r="B20" t="s">
        <v>32</v>
      </c>
      <c r="C20" s="4">
        <v>0.55486111111111114</v>
      </c>
      <c r="D20" s="4">
        <v>0.59722222222222221</v>
      </c>
      <c r="E20" t="s">
        <v>45</v>
      </c>
      <c r="F20">
        <f t="shared" si="0"/>
        <v>1</v>
      </c>
      <c r="G20">
        <f t="shared" si="1"/>
        <v>2</v>
      </c>
      <c r="H20">
        <f t="shared" ca="1" si="2"/>
        <v>2</v>
      </c>
      <c r="I20">
        <f ca="1">COUNTIF(OFFSET($C$1,A20,0,41-A20,1), "&lt;"&amp;D20)</f>
        <v>2</v>
      </c>
      <c r="J20" s="4"/>
      <c r="K20" s="4"/>
    </row>
    <row r="21" spans="1:11" x14ac:dyDescent="0.2">
      <c r="A21" s="2">
        <v>20</v>
      </c>
      <c r="B21" s="2" t="s">
        <v>14</v>
      </c>
      <c r="C21" s="5">
        <v>0.5625</v>
      </c>
      <c r="D21" s="5">
        <v>0.6020833333333333</v>
      </c>
      <c r="E21" s="2" t="s">
        <v>44</v>
      </c>
      <c r="F21">
        <f t="shared" si="0"/>
        <v>1</v>
      </c>
      <c r="G21">
        <f t="shared" si="1"/>
        <v>3</v>
      </c>
      <c r="H21">
        <f t="shared" ca="1" si="2"/>
        <v>3</v>
      </c>
      <c r="I21">
        <f ca="1">COUNTIF(OFFSET($C$1,A21,0,41-A21,1), "&lt;"&amp;D21)</f>
        <v>2</v>
      </c>
      <c r="J21" s="4"/>
      <c r="K21" s="4"/>
    </row>
    <row r="22" spans="1:11" x14ac:dyDescent="0.2">
      <c r="A22">
        <v>21</v>
      </c>
      <c r="B22" t="s">
        <v>15</v>
      </c>
      <c r="C22" s="4">
        <v>0.59861111111111109</v>
      </c>
      <c r="D22" s="4">
        <v>0.64166666666666672</v>
      </c>
      <c r="E22" t="s">
        <v>44</v>
      </c>
      <c r="F22">
        <f t="shared" si="0"/>
        <v>3</v>
      </c>
      <c r="G22">
        <f t="shared" si="1"/>
        <v>4</v>
      </c>
      <c r="H22">
        <f t="shared" ca="1" si="2"/>
        <v>4</v>
      </c>
      <c r="I22">
        <f ca="1">COUNTIF(OFFSET($C$1,A22,0,41-A22,1), "&lt;"&amp;D22)</f>
        <v>4</v>
      </c>
      <c r="J22" s="4"/>
      <c r="K22" s="4"/>
    </row>
    <row r="23" spans="1:11" x14ac:dyDescent="0.2">
      <c r="A23" s="2">
        <v>22</v>
      </c>
      <c r="B23" s="2" t="s">
        <v>33</v>
      </c>
      <c r="C23" s="5">
        <v>0.6020833333333333</v>
      </c>
      <c r="D23" s="5">
        <v>0.64444444444444449</v>
      </c>
      <c r="E23" s="2" t="s">
        <v>45</v>
      </c>
      <c r="F23">
        <f t="shared" si="0"/>
        <v>2</v>
      </c>
      <c r="G23">
        <f t="shared" si="1"/>
        <v>3</v>
      </c>
      <c r="H23">
        <f t="shared" ca="1" si="2"/>
        <v>3</v>
      </c>
      <c r="I23">
        <f ca="1">COUNTIF(OFFSET($C$1,A23,0,41-A23,1), "&lt;"&amp;D23)</f>
        <v>3</v>
      </c>
      <c r="J23" s="4"/>
      <c r="K23" s="4"/>
    </row>
    <row r="24" spans="1:11" x14ac:dyDescent="0.2">
      <c r="A24">
        <v>23</v>
      </c>
      <c r="B24" t="s">
        <v>16</v>
      </c>
      <c r="C24" s="4">
        <v>0.61527777777777781</v>
      </c>
      <c r="D24" s="4">
        <v>0.65833333333333333</v>
      </c>
      <c r="E24" t="s">
        <v>44</v>
      </c>
      <c r="F24">
        <f t="shared" si="0"/>
        <v>2</v>
      </c>
      <c r="G24">
        <f t="shared" si="1"/>
        <v>4</v>
      </c>
      <c r="H24">
        <f t="shared" ca="1" si="2"/>
        <v>4</v>
      </c>
      <c r="I24">
        <f ca="1">COUNTIF(OFFSET($C$1,A24,0,41-A24,1), "&lt;"&amp;D24)</f>
        <v>3</v>
      </c>
      <c r="J24" s="4"/>
      <c r="K24" s="4"/>
    </row>
    <row r="25" spans="1:11" x14ac:dyDescent="0.2">
      <c r="A25" s="2">
        <v>24</v>
      </c>
      <c r="B25" s="2" t="s">
        <v>34</v>
      </c>
      <c r="C25" s="5">
        <v>0.63750000000000007</v>
      </c>
      <c r="D25" s="5">
        <v>0.68333333333333324</v>
      </c>
      <c r="E25" s="2" t="s">
        <v>45</v>
      </c>
      <c r="F25">
        <f t="shared" si="0"/>
        <v>3</v>
      </c>
      <c r="G25">
        <f t="shared" si="1"/>
        <v>4</v>
      </c>
      <c r="H25">
        <f t="shared" ca="1" si="2"/>
        <v>4</v>
      </c>
      <c r="I25">
        <f ca="1">COUNTIF(OFFSET($C$1,A25,0,41-A25,1), "&lt;"&amp;D25)</f>
        <v>4</v>
      </c>
      <c r="J25" s="4"/>
      <c r="K25" s="4"/>
    </row>
    <row r="26" spans="1:11" x14ac:dyDescent="0.2">
      <c r="A26">
        <v>25</v>
      </c>
      <c r="B26" t="s">
        <v>17</v>
      </c>
      <c r="C26" s="4">
        <v>0.65694444444444444</v>
      </c>
      <c r="D26" s="4">
        <v>0.70000000000000007</v>
      </c>
      <c r="E26" t="s">
        <v>44</v>
      </c>
      <c r="F26">
        <f t="shared" si="0"/>
        <v>2</v>
      </c>
      <c r="G26">
        <f t="shared" si="1"/>
        <v>4</v>
      </c>
      <c r="H26">
        <f t="shared" ca="1" si="2"/>
        <v>4</v>
      </c>
      <c r="I26">
        <f ca="1">COUNTIF(OFFSET($C$1,A26,0,41-A26,1), "&lt;"&amp;D26)</f>
        <v>3</v>
      </c>
      <c r="J26" s="4"/>
      <c r="K26" s="4"/>
    </row>
    <row r="27" spans="1:11" x14ac:dyDescent="0.2">
      <c r="A27" s="2">
        <v>26</v>
      </c>
      <c r="B27" s="2" t="s">
        <v>35</v>
      </c>
      <c r="C27" s="5">
        <v>0.65833333333333333</v>
      </c>
      <c r="D27" s="5">
        <v>0.70416666666666661</v>
      </c>
      <c r="E27" s="2" t="s">
        <v>45</v>
      </c>
      <c r="F27">
        <f t="shared" si="0"/>
        <v>3</v>
      </c>
      <c r="G27">
        <f t="shared" si="1"/>
        <v>4</v>
      </c>
      <c r="H27">
        <f t="shared" ca="1" si="2"/>
        <v>4</v>
      </c>
      <c r="I27">
        <f ca="1">COUNTIF(OFFSET($C$1,A27,0,41-A27,1), "&lt;"&amp;D27)</f>
        <v>4</v>
      </c>
      <c r="J27" s="4"/>
      <c r="K27" s="4"/>
    </row>
    <row r="28" spans="1:11" x14ac:dyDescent="0.2">
      <c r="A28">
        <v>27</v>
      </c>
      <c r="B28" t="s">
        <v>36</v>
      </c>
      <c r="C28" s="4">
        <v>0.6791666666666667</v>
      </c>
      <c r="D28" s="4">
        <v>0.72569444444444453</v>
      </c>
      <c r="E28" t="s">
        <v>45</v>
      </c>
      <c r="F28">
        <f t="shared" si="0"/>
        <v>3</v>
      </c>
      <c r="G28">
        <f t="shared" si="1"/>
        <v>4</v>
      </c>
      <c r="H28">
        <f t="shared" ca="1" si="2"/>
        <v>4</v>
      </c>
      <c r="I28">
        <f ca="1">COUNTIF(OFFSET($C$1,A28,0,41-A28,1), "&lt;"&amp;D28)</f>
        <v>4</v>
      </c>
      <c r="J28" s="4"/>
      <c r="K28" s="4"/>
    </row>
    <row r="29" spans="1:11" x14ac:dyDescent="0.2">
      <c r="A29" s="2">
        <v>28</v>
      </c>
      <c r="B29" s="2" t="s">
        <v>37</v>
      </c>
      <c r="C29" s="5">
        <v>0.70000000000000007</v>
      </c>
      <c r="D29" s="5">
        <v>0.74652777777777779</v>
      </c>
      <c r="E29" s="2" t="s">
        <v>45</v>
      </c>
      <c r="F29">
        <f t="shared" si="0"/>
        <v>4</v>
      </c>
      <c r="G29">
        <f t="shared" si="1"/>
        <v>5</v>
      </c>
      <c r="H29">
        <f t="shared" ca="1" si="2"/>
        <v>5</v>
      </c>
      <c r="I29">
        <f ca="1">COUNTIF(OFFSET($C$1,A29,0,41-A29,1), "&lt;"&amp;D29)</f>
        <v>5</v>
      </c>
      <c r="J29" s="4"/>
      <c r="K29" s="4"/>
    </row>
    <row r="30" spans="1:11" x14ac:dyDescent="0.2">
      <c r="A30">
        <v>29</v>
      </c>
      <c r="B30" t="s">
        <v>18</v>
      </c>
      <c r="C30" s="4">
        <v>0.70208333333333339</v>
      </c>
      <c r="D30" s="4">
        <v>0.74513888888888891</v>
      </c>
      <c r="E30" t="s">
        <v>44</v>
      </c>
      <c r="F30">
        <f t="shared" si="0"/>
        <v>2</v>
      </c>
      <c r="G30">
        <f t="shared" si="1"/>
        <v>4</v>
      </c>
      <c r="H30">
        <f t="shared" ca="1" si="2"/>
        <v>4</v>
      </c>
      <c r="I30">
        <f ca="1">COUNTIF(OFFSET($C$1,A30,0,41-A30,1), "&lt;"&amp;D30)</f>
        <v>3</v>
      </c>
      <c r="J30" s="4"/>
      <c r="K30" s="4"/>
    </row>
    <row r="31" spans="1:11" x14ac:dyDescent="0.2">
      <c r="A31" s="2">
        <v>30</v>
      </c>
      <c r="B31" s="2" t="s">
        <v>38</v>
      </c>
      <c r="C31" s="5">
        <v>0.72083333333333333</v>
      </c>
      <c r="D31" s="5">
        <v>0.76736111111111116</v>
      </c>
      <c r="E31" s="2" t="s">
        <v>45</v>
      </c>
      <c r="F31">
        <f t="shared" si="0"/>
        <v>2</v>
      </c>
      <c r="G31">
        <f t="shared" si="1"/>
        <v>3</v>
      </c>
      <c r="H31">
        <f t="shared" ca="1" si="2"/>
        <v>3</v>
      </c>
      <c r="I31">
        <f ca="1">COUNTIF(OFFSET($C$1,A31,0,41-A31,1), "&lt;"&amp;D31)</f>
        <v>3</v>
      </c>
      <c r="J31" s="4"/>
      <c r="K31" s="4"/>
    </row>
    <row r="32" spans="1:11" x14ac:dyDescent="0.2">
      <c r="A32">
        <v>31</v>
      </c>
      <c r="B32" t="s">
        <v>19</v>
      </c>
      <c r="C32" s="4">
        <v>0.73888888888888893</v>
      </c>
      <c r="D32" s="4">
        <v>0.77638888888888891</v>
      </c>
      <c r="E32" t="s">
        <v>44</v>
      </c>
      <c r="F32">
        <f t="shared" si="0"/>
        <v>1</v>
      </c>
      <c r="G32">
        <f t="shared" si="1"/>
        <v>3</v>
      </c>
      <c r="H32">
        <f t="shared" ca="1" si="2"/>
        <v>3</v>
      </c>
      <c r="I32">
        <f ca="1">COUNTIF(OFFSET($C$1,A32,0,41-A32,1), "&lt;"&amp;D32)</f>
        <v>2</v>
      </c>
      <c r="J32" s="4"/>
      <c r="K32" s="4"/>
    </row>
    <row r="33" spans="1:11" x14ac:dyDescent="0.2">
      <c r="A33" s="2">
        <v>32</v>
      </c>
      <c r="B33" s="2" t="s">
        <v>39</v>
      </c>
      <c r="C33" s="5">
        <v>0.74513888888888891</v>
      </c>
      <c r="D33" s="5">
        <v>0.79166666666666663</v>
      </c>
      <c r="E33" s="2" t="s">
        <v>45</v>
      </c>
      <c r="F33">
        <f t="shared" si="0"/>
        <v>2</v>
      </c>
      <c r="G33">
        <f t="shared" si="1"/>
        <v>3</v>
      </c>
      <c r="H33">
        <f t="shared" ca="1" si="2"/>
        <v>3</v>
      </c>
      <c r="I33">
        <f ca="1">COUNTIF(OFFSET($C$1,A33,0,41-A33,1), "&lt;"&amp;D33)</f>
        <v>3</v>
      </c>
      <c r="J33" s="4"/>
      <c r="K33" s="4"/>
    </row>
    <row r="34" spans="1:11" x14ac:dyDescent="0.2">
      <c r="A34">
        <v>33</v>
      </c>
      <c r="B34" t="s">
        <v>40</v>
      </c>
      <c r="C34" s="4">
        <v>0.77638888888888891</v>
      </c>
      <c r="D34" s="4">
        <v>0.81944444444444453</v>
      </c>
      <c r="E34" t="s">
        <v>45</v>
      </c>
      <c r="F34">
        <f t="shared" si="0"/>
        <v>2</v>
      </c>
      <c r="G34">
        <f t="shared" si="1"/>
        <v>3</v>
      </c>
      <c r="H34">
        <f t="shared" ca="1" si="2"/>
        <v>3</v>
      </c>
      <c r="I34">
        <f ca="1">COUNTIF(OFFSET($C$1,A34,0,41-A34,1), "&lt;"&amp;D34)</f>
        <v>3</v>
      </c>
      <c r="J34" s="4"/>
      <c r="K34" s="4"/>
    </row>
    <row r="35" spans="1:11" x14ac:dyDescent="0.2">
      <c r="A35" s="2">
        <v>34</v>
      </c>
      <c r="B35" s="2" t="s">
        <v>20</v>
      </c>
      <c r="C35" s="5">
        <v>0.78055555555555556</v>
      </c>
      <c r="D35" s="5">
        <v>0.81805555555555554</v>
      </c>
      <c r="E35" s="2" t="s">
        <v>44</v>
      </c>
      <c r="F35">
        <f t="shared" si="0"/>
        <v>0</v>
      </c>
      <c r="G35">
        <f t="shared" si="1"/>
        <v>2</v>
      </c>
      <c r="H35">
        <f t="shared" ca="1" si="2"/>
        <v>2</v>
      </c>
      <c r="I35">
        <f ca="1">COUNTIF(OFFSET($C$1,A35,0,41-A35,1), "&lt;"&amp;D35)</f>
        <v>1</v>
      </c>
      <c r="J35" s="4"/>
      <c r="K35" s="4"/>
    </row>
    <row r="36" spans="1:11" x14ac:dyDescent="0.2">
      <c r="A36">
        <v>35</v>
      </c>
      <c r="B36" t="s">
        <v>41</v>
      </c>
      <c r="C36" s="4">
        <v>0.81805555555555554</v>
      </c>
      <c r="D36" s="4">
        <v>0.86111111111111116</v>
      </c>
      <c r="E36" t="s">
        <v>45</v>
      </c>
      <c r="F36">
        <f t="shared" si="0"/>
        <v>1</v>
      </c>
      <c r="G36">
        <f t="shared" si="1"/>
        <v>2</v>
      </c>
      <c r="H36">
        <f t="shared" ca="1" si="2"/>
        <v>2</v>
      </c>
      <c r="I36">
        <f ca="1">COUNTIF(OFFSET($C$1,A36,0,41-A36,1), "&lt;"&amp;D36)</f>
        <v>2</v>
      </c>
      <c r="J36" s="4"/>
      <c r="K36" s="4"/>
    </row>
    <row r="37" spans="1:11" x14ac:dyDescent="0.2">
      <c r="A37" s="2">
        <v>36</v>
      </c>
      <c r="B37" s="2" t="s">
        <v>21</v>
      </c>
      <c r="C37" s="5">
        <v>0.82916666666666661</v>
      </c>
      <c r="D37" s="5">
        <v>0.8666666666666667</v>
      </c>
      <c r="E37" s="2" t="s">
        <v>44</v>
      </c>
      <c r="F37">
        <f t="shared" si="0"/>
        <v>0</v>
      </c>
      <c r="G37">
        <f t="shared" si="1"/>
        <v>2</v>
      </c>
      <c r="H37">
        <f t="shared" ca="1" si="2"/>
        <v>2</v>
      </c>
      <c r="I37">
        <f ca="1">COUNTIF(OFFSET($C$1,A37,0,41-A37,1), "&lt;"&amp;D37)</f>
        <v>1</v>
      </c>
      <c r="J37" s="4"/>
      <c r="K37" s="4"/>
    </row>
    <row r="38" spans="1:11" x14ac:dyDescent="0.2">
      <c r="A38">
        <v>37</v>
      </c>
      <c r="B38" t="s">
        <v>42</v>
      </c>
      <c r="C38" s="4">
        <v>0.8666666666666667</v>
      </c>
      <c r="D38" s="4">
        <v>0.90972222222222221</v>
      </c>
      <c r="E38" t="s">
        <v>45</v>
      </c>
      <c r="F38">
        <f t="shared" si="0"/>
        <v>1</v>
      </c>
      <c r="G38">
        <f t="shared" si="1"/>
        <v>2</v>
      </c>
      <c r="H38">
        <f t="shared" ca="1" si="2"/>
        <v>2</v>
      </c>
      <c r="I38">
        <f ca="1">COUNTIF(OFFSET($C$1,A38,0,41-A38,1), "&lt;"&amp;D38)</f>
        <v>2</v>
      </c>
      <c r="J38" s="4"/>
      <c r="K38" s="4"/>
    </row>
    <row r="39" spans="1:11" x14ac:dyDescent="0.2">
      <c r="A39" s="2">
        <v>38</v>
      </c>
      <c r="B39" s="2" t="s">
        <v>22</v>
      </c>
      <c r="C39" s="5">
        <v>0.87430555555555556</v>
      </c>
      <c r="D39" s="5">
        <v>0.91180555555555554</v>
      </c>
      <c r="E39" s="2" t="s">
        <v>44</v>
      </c>
      <c r="F39">
        <f t="shared" si="0"/>
        <v>0</v>
      </c>
      <c r="G39">
        <f t="shared" si="1"/>
        <v>2</v>
      </c>
      <c r="H39">
        <f t="shared" ca="1" si="2"/>
        <v>2</v>
      </c>
      <c r="I39">
        <f ca="1">COUNTIF(OFFSET($C$1,A39,0,41-A39,1), "&lt;"&amp;D39)</f>
        <v>1</v>
      </c>
      <c r="J39" s="4"/>
      <c r="K39" s="4"/>
    </row>
    <row r="40" spans="1:11" x14ac:dyDescent="0.2">
      <c r="A40">
        <v>39</v>
      </c>
      <c r="B40" t="s">
        <v>43</v>
      </c>
      <c r="C40" s="4">
        <v>0.91180555555555554</v>
      </c>
      <c r="D40" s="4">
        <v>0.95486111111111116</v>
      </c>
      <c r="E40" t="s">
        <v>45</v>
      </c>
      <c r="F40">
        <f t="shared" si="0"/>
        <v>1</v>
      </c>
      <c r="G40">
        <f t="shared" si="1"/>
        <v>2</v>
      </c>
      <c r="H40">
        <f t="shared" ca="1" si="2"/>
        <v>2</v>
      </c>
      <c r="I40">
        <f ca="1">COUNTIF(OFFSET($C$1,A40,0,41-A40,1), "&lt;"&amp;D40)</f>
        <v>2</v>
      </c>
      <c r="J40" s="4"/>
      <c r="K40" s="4"/>
    </row>
    <row r="41" spans="1:11" x14ac:dyDescent="0.2">
      <c r="A41" s="2">
        <v>40</v>
      </c>
      <c r="B41" s="2" t="s">
        <v>23</v>
      </c>
      <c r="C41" s="5">
        <v>0.92291666666666661</v>
      </c>
      <c r="D41" s="5">
        <v>0.9604166666666667</v>
      </c>
      <c r="E41" s="2" t="s">
        <v>44</v>
      </c>
      <c r="F41">
        <f t="shared" si="0"/>
        <v>0</v>
      </c>
      <c r="G41">
        <f t="shared" si="1"/>
        <v>1</v>
      </c>
      <c r="H41">
        <f t="shared" ca="1" si="2"/>
        <v>1</v>
      </c>
      <c r="I41">
        <f ca="1">COUNTIF(OFFSET($C$1,A41,0,41-A41,1), "&lt;"&amp;D41)</f>
        <v>1</v>
      </c>
      <c r="J41" s="4"/>
      <c r="K4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Original</vt:lpstr>
      <vt:lpstr>Original (RT)</vt:lpstr>
      <vt:lpstr>Extended</vt:lpstr>
      <vt:lpstr>Extended (Modified)</vt:lpstr>
      <vt:lpstr>PV Methods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 SSamach</cp:lastModifiedBy>
  <dcterms:created xsi:type="dcterms:W3CDTF">2020-04-29T05:36:46Z</dcterms:created>
  <dcterms:modified xsi:type="dcterms:W3CDTF">2020-04-29T18:51:25Z</dcterms:modified>
</cp:coreProperties>
</file>