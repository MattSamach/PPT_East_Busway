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6435" windowWidth="28860" windowHeight="6495"/>
  </bookViews>
  <sheets>
    <sheet name="Cy11_2020_44Dists_02-07" sheetId="11" r:id="rId1"/>
    <sheet name="Cy11_2045_44Dists_02-07" sheetId="12" r:id="rId2"/>
    <sheet name="Cy11_Diff2020to2045_02-07" sheetId="13" r:id="rId3"/>
    <sheet name="Cy11_PercentDiff20to45_02-07" sheetId="14" r:id="rId4"/>
  </sheets>
  <calcPr calcId="125725"/>
</workbook>
</file>

<file path=xl/calcChain.xml><?xml version="1.0" encoding="utf-8"?>
<calcChain xmlns="http://schemas.openxmlformats.org/spreadsheetml/2006/main">
  <c r="E51" i="12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51" i="1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G52" l="1"/>
  <c r="I52" i="12"/>
  <c r="H18" i="14"/>
  <c r="H30"/>
  <c r="H41"/>
  <c r="H42"/>
  <c r="I13"/>
  <c r="E8" i="13"/>
  <c r="E9" i="14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G8"/>
  <c r="G9" i="13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I9" i="14"/>
  <c r="I11"/>
  <c r="I12"/>
  <c r="I14"/>
  <c r="I15"/>
  <c r="I17"/>
  <c r="I18"/>
  <c r="I19"/>
  <c r="I21"/>
  <c r="I22"/>
  <c r="I23"/>
  <c r="I24"/>
  <c r="I25"/>
  <c r="I26"/>
  <c r="I27"/>
  <c r="I28"/>
  <c r="I29"/>
  <c r="I30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F9" i="13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N9"/>
  <c r="N18"/>
  <c r="N20"/>
  <c r="N21"/>
  <c r="N22"/>
  <c r="N29"/>
  <c r="N30"/>
  <c r="N31"/>
  <c r="N32"/>
  <c r="N33"/>
  <c r="N34"/>
  <c r="N37"/>
  <c r="N39"/>
  <c r="N40"/>
  <c r="N41"/>
  <c r="N43"/>
  <c r="N45"/>
  <c r="N46"/>
  <c r="E52" i="12"/>
  <c r="N10" i="13"/>
  <c r="M39" i="14"/>
  <c r="M51"/>
  <c r="O19" i="12"/>
  <c r="L8" i="13"/>
  <c r="L17"/>
  <c r="L34"/>
  <c r="L37"/>
  <c r="L40"/>
  <c r="L46"/>
  <c r="L49"/>
  <c r="O8" i="12"/>
  <c r="M9" i="13"/>
  <c r="M10"/>
  <c r="M11"/>
  <c r="M12"/>
  <c r="M13"/>
  <c r="M14"/>
  <c r="M15" i="14"/>
  <c r="M16" i="13"/>
  <c r="M17"/>
  <c r="M18"/>
  <c r="M19"/>
  <c r="M20"/>
  <c r="M21"/>
  <c r="M22"/>
  <c r="M23"/>
  <c r="M24"/>
  <c r="M25"/>
  <c r="M26"/>
  <c r="M27" i="14"/>
  <c r="M28" i="13"/>
  <c r="M29"/>
  <c r="M30"/>
  <c r="M31"/>
  <c r="M32"/>
  <c r="M33"/>
  <c r="M34"/>
  <c r="M35"/>
  <c r="M36"/>
  <c r="M38"/>
  <c r="M40"/>
  <c r="M41"/>
  <c r="M42"/>
  <c r="M43"/>
  <c r="M44"/>
  <c r="M45"/>
  <c r="M46"/>
  <c r="M47"/>
  <c r="K48" i="12"/>
  <c r="K49"/>
  <c r="I10" i="14"/>
  <c r="I16"/>
  <c r="I31"/>
  <c r="N52" i="12"/>
  <c r="L9" i="13"/>
  <c r="L10"/>
  <c r="L12"/>
  <c r="L13"/>
  <c r="L15"/>
  <c r="L16"/>
  <c r="L23"/>
  <c r="L26"/>
  <c r="L32"/>
  <c r="L35"/>
  <c r="L41"/>
  <c r="L43"/>
  <c r="L45"/>
  <c r="L51"/>
  <c r="H9" i="14"/>
  <c r="H10"/>
  <c r="H11"/>
  <c r="H12"/>
  <c r="H13"/>
  <c r="H14"/>
  <c r="H15"/>
  <c r="H16"/>
  <c r="H17"/>
  <c r="H19"/>
  <c r="H20"/>
  <c r="H21"/>
  <c r="H22"/>
  <c r="H23"/>
  <c r="H24"/>
  <c r="H25"/>
  <c r="H26"/>
  <c r="H27"/>
  <c r="H28"/>
  <c r="H29"/>
  <c r="H31"/>
  <c r="H32"/>
  <c r="H33"/>
  <c r="H34"/>
  <c r="H35"/>
  <c r="H36"/>
  <c r="H37"/>
  <c r="H38"/>
  <c r="H39"/>
  <c r="H40"/>
  <c r="H43"/>
  <c r="H44"/>
  <c r="H45"/>
  <c r="H46"/>
  <c r="H47"/>
  <c r="H48"/>
  <c r="H49"/>
  <c r="H50"/>
  <c r="H51"/>
  <c r="K10" i="12"/>
  <c r="K11"/>
  <c r="K12"/>
  <c r="K13"/>
  <c r="K14"/>
  <c r="K15"/>
  <c r="K17"/>
  <c r="K18"/>
  <c r="K19"/>
  <c r="K23"/>
  <c r="K24"/>
  <c r="K25"/>
  <c r="K27"/>
  <c r="K29"/>
  <c r="K30"/>
  <c r="K31"/>
  <c r="K36"/>
  <c r="K37"/>
  <c r="K38"/>
  <c r="K39"/>
  <c r="K41"/>
  <c r="K42"/>
  <c r="K43"/>
  <c r="K50"/>
  <c r="K51"/>
  <c r="I20" i="14"/>
  <c r="L52" i="12"/>
  <c r="K26" l="1"/>
  <c r="K26" i="13" s="1"/>
  <c r="O31" i="12"/>
  <c r="O43"/>
  <c r="K45"/>
  <c r="K32"/>
  <c r="K46"/>
  <c r="K33"/>
  <c r="K20"/>
  <c r="K44"/>
  <c r="K47"/>
  <c r="K47" i="13" s="1"/>
  <c r="K34" i="12"/>
  <c r="K21"/>
  <c r="K21" i="13" s="1"/>
  <c r="K8" i="12"/>
  <c r="K35"/>
  <c r="K22"/>
  <c r="K9"/>
  <c r="M48" i="13"/>
  <c r="M49"/>
  <c r="M37"/>
  <c r="M50"/>
  <c r="K36" i="11"/>
  <c r="K36" i="14" s="1"/>
  <c r="L36"/>
  <c r="K18" i="11"/>
  <c r="K18" i="14" s="1"/>
  <c r="L18"/>
  <c r="K42" i="11"/>
  <c r="K42" i="14" s="1"/>
  <c r="L42"/>
  <c r="K11" i="11"/>
  <c r="K11" i="14" s="1"/>
  <c r="L11"/>
  <c r="N47"/>
  <c r="O47" i="11"/>
  <c r="N35" i="14"/>
  <c r="O35" i="11"/>
  <c r="N23" i="14"/>
  <c r="O23" i="11"/>
  <c r="N11" i="14"/>
  <c r="O11" i="11"/>
  <c r="K41" i="13"/>
  <c r="O41" i="12"/>
  <c r="O29"/>
  <c r="O17"/>
  <c r="M49" i="14"/>
  <c r="M37"/>
  <c r="M25"/>
  <c r="M13"/>
  <c r="H42" i="13"/>
  <c r="H30"/>
  <c r="H18"/>
  <c r="F50" i="14"/>
  <c r="F38"/>
  <c r="F26"/>
  <c r="F14"/>
  <c r="I36" i="13"/>
  <c r="G24" i="14"/>
  <c r="E19" i="13"/>
  <c r="G50" i="14"/>
  <c r="I27" i="13"/>
  <c r="G28" i="14"/>
  <c r="E27" i="13"/>
  <c r="E44"/>
  <c r="E35"/>
  <c r="G21" i="14"/>
  <c r="E33" i="13"/>
  <c r="G11" i="14"/>
  <c r="K38" i="11"/>
  <c r="K38" i="14" s="1"/>
  <c r="L38"/>
  <c r="K20" i="11"/>
  <c r="K20" i="14" s="1"/>
  <c r="L20"/>
  <c r="K44" i="11"/>
  <c r="L44" i="14"/>
  <c r="K14" i="11"/>
  <c r="K14" i="14" s="1"/>
  <c r="L14"/>
  <c r="N48"/>
  <c r="O48" i="11"/>
  <c r="N36" i="14"/>
  <c r="O36" i="11"/>
  <c r="N24" i="14"/>
  <c r="O24" i="11"/>
  <c r="N12" i="14"/>
  <c r="O12" i="11"/>
  <c r="K18" i="13"/>
  <c r="M51"/>
  <c r="M39"/>
  <c r="M27"/>
  <c r="M15"/>
  <c r="O42" i="12"/>
  <c r="O30"/>
  <c r="O18"/>
  <c r="M50" i="14"/>
  <c r="M38"/>
  <c r="M26"/>
  <c r="M14"/>
  <c r="H43" i="13"/>
  <c r="H31"/>
  <c r="H19"/>
  <c r="F51" i="14"/>
  <c r="F39"/>
  <c r="F27"/>
  <c r="F15"/>
  <c r="E38" i="13"/>
  <c r="G36" i="14"/>
  <c r="I46" i="13"/>
  <c r="I10"/>
  <c r="E29"/>
  <c r="I44"/>
  <c r="G40" i="14"/>
  <c r="I35" i="13"/>
  <c r="G10" i="14"/>
  <c r="I16" i="13"/>
  <c r="G33" i="14"/>
  <c r="N35" i="13"/>
  <c r="G23" i="14"/>
  <c r="N49"/>
  <c r="O49" i="11"/>
  <c r="N37" i="14"/>
  <c r="O37" i="11"/>
  <c r="N25" i="14"/>
  <c r="O25" i="11"/>
  <c r="N13" i="14"/>
  <c r="O13" i="11"/>
  <c r="F8" i="13"/>
  <c r="F52" s="1"/>
  <c r="F52" i="12"/>
  <c r="H8" i="13"/>
  <c r="H52" i="12"/>
  <c r="H44" i="13"/>
  <c r="H32"/>
  <c r="H20"/>
  <c r="F40" i="14"/>
  <c r="F28"/>
  <c r="F16"/>
  <c r="G48"/>
  <c r="E48" i="13"/>
  <c r="E12"/>
  <c r="E46"/>
  <c r="E10"/>
  <c r="E37"/>
  <c r="G31" i="14"/>
  <c r="E18" i="13"/>
  <c r="L42"/>
  <c r="G45" i="14"/>
  <c r="I26" i="13"/>
  <c r="G35" i="14"/>
  <c r="K43" i="11"/>
  <c r="K43" i="14" s="1"/>
  <c r="L43"/>
  <c r="K23" i="11"/>
  <c r="K23" i="14" s="1"/>
  <c r="L23"/>
  <c r="K47" i="11"/>
  <c r="L47" i="14"/>
  <c r="K19" i="11"/>
  <c r="K19" i="14" s="1"/>
  <c r="L19"/>
  <c r="N50"/>
  <c r="O50" i="11"/>
  <c r="N38" i="14"/>
  <c r="O38" i="11"/>
  <c r="N26" i="14"/>
  <c r="O26" i="11"/>
  <c r="N14" i="14"/>
  <c r="O14" i="11"/>
  <c r="I52"/>
  <c r="I52" i="14" s="1"/>
  <c r="I8"/>
  <c r="K20" i="13"/>
  <c r="O44" i="12"/>
  <c r="O32"/>
  <c r="O20"/>
  <c r="M40" i="14"/>
  <c r="M28"/>
  <c r="M16"/>
  <c r="H45" i="13"/>
  <c r="H33"/>
  <c r="H21"/>
  <c r="H9"/>
  <c r="F41" i="14"/>
  <c r="F29"/>
  <c r="F17"/>
  <c r="I29" i="13"/>
  <c r="N50"/>
  <c r="N14"/>
  <c r="L36"/>
  <c r="N48"/>
  <c r="N12"/>
  <c r="I37"/>
  <c r="G17" i="14"/>
  <c r="I18" i="13"/>
  <c r="G43" i="14"/>
  <c r="I45" i="13"/>
  <c r="I9"/>
  <c r="E28"/>
  <c r="I43"/>
  <c r="G47" i="14"/>
  <c r="K45" i="11"/>
  <c r="L45" i="14"/>
  <c r="K25" i="11"/>
  <c r="K25" i="14" s="1"/>
  <c r="L25"/>
  <c r="K49" i="11"/>
  <c r="K49" i="14" s="1"/>
  <c r="L49"/>
  <c r="K21" i="11"/>
  <c r="L21" i="14"/>
  <c r="N51"/>
  <c r="O51" i="11"/>
  <c r="N39" i="14"/>
  <c r="O39" i="11"/>
  <c r="N27" i="14"/>
  <c r="O27" i="11"/>
  <c r="N15" i="14"/>
  <c r="O15" i="11"/>
  <c r="O45" i="12"/>
  <c r="O33"/>
  <c r="O21"/>
  <c r="O9"/>
  <c r="M41" i="14"/>
  <c r="M29"/>
  <c r="M17"/>
  <c r="H46" i="13"/>
  <c r="H34"/>
  <c r="H22"/>
  <c r="H10"/>
  <c r="F42" i="14"/>
  <c r="F30"/>
  <c r="F18"/>
  <c r="I48" i="13"/>
  <c r="I12"/>
  <c r="E31"/>
  <c r="G15" i="14"/>
  <c r="L19" i="13"/>
  <c r="I39"/>
  <c r="G27" i="14"/>
  <c r="E39" i="13"/>
  <c r="G29" i="14"/>
  <c r="E20" i="13"/>
  <c r="L44"/>
  <c r="L25"/>
  <c r="E47"/>
  <c r="E11"/>
  <c r="E45"/>
  <c r="E9"/>
  <c r="K22" i="11"/>
  <c r="L22" i="14"/>
  <c r="K48" i="11"/>
  <c r="K48" i="14" s="1"/>
  <c r="L48"/>
  <c r="K26" i="11"/>
  <c r="L26" i="14"/>
  <c r="K50" i="11"/>
  <c r="K50" i="14" s="1"/>
  <c r="L50"/>
  <c r="K24" i="11"/>
  <c r="K24" i="14" s="1"/>
  <c r="L24"/>
  <c r="N40"/>
  <c r="O40" i="11"/>
  <c r="N28" i="14"/>
  <c r="O28" i="11"/>
  <c r="N16" i="14"/>
  <c r="O16" i="11"/>
  <c r="O46" i="12"/>
  <c r="O34"/>
  <c r="O22"/>
  <c r="O10"/>
  <c r="M42" i="14"/>
  <c r="M30"/>
  <c r="M18"/>
  <c r="H47" i="13"/>
  <c r="H35"/>
  <c r="H23"/>
  <c r="H11"/>
  <c r="F43" i="14"/>
  <c r="F31"/>
  <c r="F19"/>
  <c r="E50" i="13"/>
  <c r="E14"/>
  <c r="G13" i="14"/>
  <c r="I22" i="13"/>
  <c r="E41"/>
  <c r="G39" i="14"/>
  <c r="I20" i="13"/>
  <c r="G41" i="14"/>
  <c r="I47" i="13"/>
  <c r="I11"/>
  <c r="I28"/>
  <c r="N49"/>
  <c r="N13"/>
  <c r="N47"/>
  <c r="N11"/>
  <c r="K51" i="11"/>
  <c r="K51" i="14" s="1"/>
  <c r="L51"/>
  <c r="K28" i="11"/>
  <c r="L28" i="14"/>
  <c r="K9" i="11"/>
  <c r="L9" i="14"/>
  <c r="M8" i="13"/>
  <c r="M52" i="12"/>
  <c r="K52" s="1"/>
  <c r="K27" i="11"/>
  <c r="K27" i="14" s="1"/>
  <c r="L27"/>
  <c r="N10"/>
  <c r="O10" i="11"/>
  <c r="N41" i="14"/>
  <c r="O41" i="11"/>
  <c r="O41" i="14" s="1"/>
  <c r="N29"/>
  <c r="O29" i="11"/>
  <c r="N17" i="14"/>
  <c r="O17" i="11"/>
  <c r="O17" i="14" s="1"/>
  <c r="F8"/>
  <c r="F52" i="11"/>
  <c r="K11" i="13"/>
  <c r="O47" i="12"/>
  <c r="O47" i="13" s="1"/>
  <c r="O35" i="12"/>
  <c r="O23"/>
  <c r="O11"/>
  <c r="O11" i="13" s="1"/>
  <c r="M43" i="14"/>
  <c r="M31"/>
  <c r="M19"/>
  <c r="H48" i="13"/>
  <c r="H36"/>
  <c r="H24"/>
  <c r="H12"/>
  <c r="F44" i="14"/>
  <c r="F32"/>
  <c r="F20"/>
  <c r="N16" i="13"/>
  <c r="L38"/>
  <c r="G25" i="14"/>
  <c r="E24" i="13"/>
  <c r="G51" i="14"/>
  <c r="E22" i="13"/>
  <c r="L27"/>
  <c r="E49"/>
  <c r="E13"/>
  <c r="E30"/>
  <c r="L18"/>
  <c r="I38"/>
  <c r="G22" i="14"/>
  <c r="K46" i="11"/>
  <c r="K46" i="14" s="1"/>
  <c r="L46"/>
  <c r="H8"/>
  <c r="H52" i="11"/>
  <c r="K29"/>
  <c r="K29" i="14" s="1"/>
  <c r="L29"/>
  <c r="K10" i="11"/>
  <c r="K10" i="14" s="1"/>
  <c r="L10"/>
  <c r="K30" i="11"/>
  <c r="K30" i="14" s="1"/>
  <c r="L30"/>
  <c r="M52" i="11"/>
  <c r="M8" i="14"/>
  <c r="N42"/>
  <c r="O42" i="11"/>
  <c r="N30" i="14"/>
  <c r="O30" i="11"/>
  <c r="N18" i="14"/>
  <c r="O18" i="11"/>
  <c r="O18" i="14" s="1"/>
  <c r="G8" i="13"/>
  <c r="G52" s="1"/>
  <c r="G52" i="12"/>
  <c r="G52" i="14" s="1"/>
  <c r="K48" i="13"/>
  <c r="K36"/>
  <c r="K24"/>
  <c r="O48" i="12"/>
  <c r="O36"/>
  <c r="O36" i="13" s="1"/>
  <c r="O24" i="12"/>
  <c r="O12"/>
  <c r="O12" i="13" s="1"/>
  <c r="M44" i="14"/>
  <c r="M32"/>
  <c r="M20"/>
  <c r="H49" i="13"/>
  <c r="H37"/>
  <c r="H25"/>
  <c r="H13"/>
  <c r="F45" i="14"/>
  <c r="F33"/>
  <c r="F21"/>
  <c r="F9"/>
  <c r="L21" i="13"/>
  <c r="I41"/>
  <c r="G37" i="14"/>
  <c r="N26" i="13"/>
  <c r="L48"/>
  <c r="N24"/>
  <c r="I49"/>
  <c r="I13"/>
  <c r="I30"/>
  <c r="N51"/>
  <c r="N15"/>
  <c r="I21"/>
  <c r="E40"/>
  <c r="G34" i="14"/>
  <c r="I19" i="13"/>
  <c r="K17" i="11"/>
  <c r="K17" i="14" s="1"/>
  <c r="L17"/>
  <c r="K31" i="11"/>
  <c r="K31" i="14" s="1"/>
  <c r="L31"/>
  <c r="K12" i="11"/>
  <c r="K12" i="14" s="1"/>
  <c r="L12"/>
  <c r="K34" i="11"/>
  <c r="L34" i="14"/>
  <c r="N43"/>
  <c r="O43" i="11"/>
  <c r="N31" i="14"/>
  <c r="O31" i="11"/>
  <c r="O31" i="14" s="1"/>
  <c r="N19"/>
  <c r="O19" i="11"/>
  <c r="O19" i="14" s="1"/>
  <c r="K49" i="13"/>
  <c r="O49" i="12"/>
  <c r="O37"/>
  <c r="O25"/>
  <c r="O25" i="13" s="1"/>
  <c r="O13" i="12"/>
  <c r="O13" i="13" s="1"/>
  <c r="M45" i="14"/>
  <c r="M33"/>
  <c r="M21"/>
  <c r="M9"/>
  <c r="H50" i="13"/>
  <c r="H38"/>
  <c r="H26"/>
  <c r="H14"/>
  <c r="F46" i="14"/>
  <c r="F34"/>
  <c r="F22"/>
  <c r="F10"/>
  <c r="I24" i="13"/>
  <c r="E43"/>
  <c r="G49" i="14"/>
  <c r="L31" i="13"/>
  <c r="I51"/>
  <c r="I15"/>
  <c r="L29"/>
  <c r="E51"/>
  <c r="E15"/>
  <c r="E32"/>
  <c r="G19" i="14"/>
  <c r="L20" i="13"/>
  <c r="G20" i="14"/>
  <c r="E23" i="13"/>
  <c r="N42"/>
  <c r="G46" i="14"/>
  <c r="E21" i="13"/>
  <c r="K41" i="11"/>
  <c r="K41" i="14" s="1"/>
  <c r="L41"/>
  <c r="K32" i="11"/>
  <c r="K32" i="14" s="1"/>
  <c r="L32"/>
  <c r="K13" i="11"/>
  <c r="K13" i="14" s="1"/>
  <c r="L13"/>
  <c r="K37" i="11"/>
  <c r="K37" i="14" s="1"/>
  <c r="L37"/>
  <c r="N44"/>
  <c r="O44" i="11"/>
  <c r="N32" i="14"/>
  <c r="O32" i="11"/>
  <c r="O32" i="14" s="1"/>
  <c r="N20"/>
  <c r="O20" i="11"/>
  <c r="O43" i="13"/>
  <c r="K38"/>
  <c r="K14"/>
  <c r="O50" i="12"/>
  <c r="O38"/>
  <c r="O26"/>
  <c r="O26" i="13" s="1"/>
  <c r="O14" i="12"/>
  <c r="O14" i="13" s="1"/>
  <c r="M46" i="14"/>
  <c r="M34"/>
  <c r="M22"/>
  <c r="M10"/>
  <c r="H51" i="13"/>
  <c r="H39"/>
  <c r="H27"/>
  <c r="H15"/>
  <c r="F47" i="14"/>
  <c r="F35"/>
  <c r="F23"/>
  <c r="F11"/>
  <c r="E26" i="13"/>
  <c r="I34"/>
  <c r="G14" i="14"/>
  <c r="E17" i="13"/>
  <c r="I32"/>
  <c r="I8"/>
  <c r="N17"/>
  <c r="G18" i="14"/>
  <c r="I23" i="13"/>
  <c r="I40"/>
  <c r="G32" i="14"/>
  <c r="N25" i="13"/>
  <c r="L47"/>
  <c r="L11"/>
  <c r="N23"/>
  <c r="K33" i="11"/>
  <c r="K33" i="14" s="1"/>
  <c r="L33"/>
  <c r="K15" i="11"/>
  <c r="K15" i="14" s="1"/>
  <c r="L15"/>
  <c r="K39" i="11"/>
  <c r="K39" i="14" s="1"/>
  <c r="L39"/>
  <c r="N45"/>
  <c r="O45" i="11"/>
  <c r="O45" i="14" s="1"/>
  <c r="N33"/>
  <c r="O33" i="11"/>
  <c r="O33" i="14" s="1"/>
  <c r="N21"/>
  <c r="O21" i="11"/>
  <c r="O21" i="14" s="1"/>
  <c r="N8"/>
  <c r="N52" i="11"/>
  <c r="O8"/>
  <c r="O8" i="14" s="1"/>
  <c r="K51" i="13"/>
  <c r="K39"/>
  <c r="K15"/>
  <c r="O51" i="12"/>
  <c r="O39"/>
  <c r="O39" i="13" s="1"/>
  <c r="O27" i="12"/>
  <c r="O15"/>
  <c r="M47" i="14"/>
  <c r="M35"/>
  <c r="M23"/>
  <c r="M11"/>
  <c r="H40" i="13"/>
  <c r="H28"/>
  <c r="H16"/>
  <c r="F48" i="14"/>
  <c r="F36"/>
  <c r="F24"/>
  <c r="F12"/>
  <c r="N28" i="13"/>
  <c r="L50"/>
  <c r="L14"/>
  <c r="E36"/>
  <c r="G26" i="14"/>
  <c r="N19" i="13"/>
  <c r="E34"/>
  <c r="L22"/>
  <c r="L39"/>
  <c r="G30" i="14"/>
  <c r="E25" i="13"/>
  <c r="E42"/>
  <c r="G44" i="14"/>
  <c r="L30" i="13"/>
  <c r="I50"/>
  <c r="I14"/>
  <c r="L28"/>
  <c r="K35" i="11"/>
  <c r="L35" i="14"/>
  <c r="K16" i="11"/>
  <c r="L16" i="14"/>
  <c r="K40" i="11"/>
  <c r="L40" i="14"/>
  <c r="K8" i="11"/>
  <c r="L52"/>
  <c r="L8" i="14"/>
  <c r="N46"/>
  <c r="O46" i="11"/>
  <c r="N34" i="14"/>
  <c r="O34" i="11"/>
  <c r="N22" i="14"/>
  <c r="O22" i="11"/>
  <c r="N9" i="14"/>
  <c r="O9" i="11"/>
  <c r="O9" i="14" s="1"/>
  <c r="E8"/>
  <c r="E52" i="11"/>
  <c r="E52" i="14" s="1"/>
  <c r="K40" i="12"/>
  <c r="K28"/>
  <c r="K16"/>
  <c r="O40"/>
  <c r="O28"/>
  <c r="O16"/>
  <c r="O16" i="13" s="1"/>
  <c r="M48" i="14"/>
  <c r="M36"/>
  <c r="M24"/>
  <c r="M12"/>
  <c r="H41" i="13"/>
  <c r="H29"/>
  <c r="H17"/>
  <c r="F49" i="14"/>
  <c r="F37"/>
  <c r="F25"/>
  <c r="F13"/>
  <c r="L33" i="13"/>
  <c r="G12" i="14"/>
  <c r="I17" i="13"/>
  <c r="N38"/>
  <c r="G38" i="14"/>
  <c r="L24" i="13"/>
  <c r="N36"/>
  <c r="G16" i="14"/>
  <c r="I25" i="13"/>
  <c r="I42"/>
  <c r="G42" i="14"/>
  <c r="N27" i="13"/>
  <c r="N44"/>
  <c r="N8"/>
  <c r="I33"/>
  <c r="G9" i="14"/>
  <c r="E16" i="13"/>
  <c r="I31"/>
  <c r="K35" i="14" l="1"/>
  <c r="O22"/>
  <c r="K21"/>
  <c r="K34"/>
  <c r="O49"/>
  <c r="O40"/>
  <c r="O37"/>
  <c r="O30"/>
  <c r="K9"/>
  <c r="K45"/>
  <c r="O34"/>
  <c r="K47"/>
  <c r="M52"/>
  <c r="O10"/>
  <c r="O24"/>
  <c r="O51"/>
  <c r="O42"/>
  <c r="K8"/>
  <c r="O44"/>
  <c r="O43"/>
  <c r="O29"/>
  <c r="K22"/>
  <c r="K44"/>
  <c r="O28"/>
  <c r="O38"/>
  <c r="O23"/>
  <c r="O20"/>
  <c r="F52"/>
  <c r="K26"/>
  <c r="K27" i="13"/>
  <c r="O50"/>
  <c r="O48"/>
  <c r="O27"/>
  <c r="K16"/>
  <c r="O35"/>
  <c r="K40"/>
  <c r="O15"/>
  <c r="L52"/>
  <c r="K22"/>
  <c r="K43"/>
  <c r="K28"/>
  <c r="O46"/>
  <c r="K44"/>
  <c r="K13"/>
  <c r="O8"/>
  <c r="E52"/>
  <c r="N52"/>
  <c r="O31"/>
  <c r="K34"/>
  <c r="O52" i="11"/>
  <c r="N52" i="14"/>
  <c r="O40" i="13"/>
  <c r="O46" i="14"/>
  <c r="K50" i="13"/>
  <c r="O49"/>
  <c r="K10"/>
  <c r="O21"/>
  <c r="O20"/>
  <c r="O14" i="14"/>
  <c r="O42" i="13"/>
  <c r="O36" i="14"/>
  <c r="O29" i="13"/>
  <c r="O47" i="14"/>
  <c r="O28" i="13"/>
  <c r="I52"/>
  <c r="O37"/>
  <c r="O24"/>
  <c r="H52" i="14"/>
  <c r="M52" i="13"/>
  <c r="O52" i="12"/>
  <c r="O9" i="13"/>
  <c r="O39" i="14"/>
  <c r="H52" i="13"/>
  <c r="O30"/>
  <c r="O17"/>
  <c r="O18"/>
  <c r="O35" i="14"/>
  <c r="O34" i="13"/>
  <c r="O27" i="14"/>
  <c r="K16"/>
  <c r="K35" i="13"/>
  <c r="O22"/>
  <c r="K31"/>
  <c r="O12" i="14"/>
  <c r="O38" i="13"/>
  <c r="K23"/>
  <c r="O10"/>
  <c r="O15" i="14"/>
  <c r="O19" i="13"/>
  <c r="K42"/>
  <c r="K40" i="14"/>
  <c r="O51" i="13"/>
  <c r="K19"/>
  <c r="K45"/>
  <c r="O50" i="14"/>
  <c r="K30" i="13"/>
  <c r="O11" i="14"/>
  <c r="O16"/>
  <c r="K33" i="13"/>
  <c r="K32"/>
  <c r="O25" i="14"/>
  <c r="K52" i="11"/>
  <c r="K52" i="14" s="1"/>
  <c r="L52"/>
  <c r="K37" i="13"/>
  <c r="O23"/>
  <c r="K28" i="14"/>
  <c r="K46" i="13"/>
  <c r="K9"/>
  <c r="K8"/>
  <c r="K29"/>
  <c r="K25"/>
  <c r="K12"/>
  <c r="O45"/>
  <c r="O44"/>
  <c r="O26" i="14"/>
  <c r="O13"/>
  <c r="O48"/>
  <c r="K17" i="13"/>
  <c r="O33"/>
  <c r="O32"/>
  <c r="O41"/>
  <c r="K52" l="1"/>
  <c r="O52"/>
  <c r="O52" i="14"/>
</calcChain>
</file>

<file path=xl/sharedStrings.xml><?xml version="1.0" encoding="utf-8"?>
<sst xmlns="http://schemas.openxmlformats.org/spreadsheetml/2006/main" count="244" uniqueCount="67">
  <si>
    <t>District</t>
  </si>
  <si>
    <t>District Name</t>
  </si>
  <si>
    <t>Employment</t>
  </si>
  <si>
    <t>Total</t>
  </si>
  <si>
    <t>Manuf</t>
  </si>
  <si>
    <t>Retail</t>
  </si>
  <si>
    <t>Service</t>
  </si>
  <si>
    <t>Other</t>
  </si>
  <si>
    <t>HH Pop</t>
  </si>
  <si>
    <t>GrpQtr Pop</t>
  </si>
  <si>
    <t>Households</t>
  </si>
  <si>
    <t>HH Size</t>
  </si>
  <si>
    <t>Population &amp; Households</t>
  </si>
  <si>
    <t>Total Pop</t>
  </si>
  <si>
    <t>Change in Employment</t>
  </si>
  <si>
    <t>Change in Population &amp; Households</t>
  </si>
  <si>
    <t>Percent Change in Employment</t>
  </si>
  <si>
    <t>Percent Change in Population &amp; Households</t>
  </si>
  <si>
    <t>SPC Cycle 11 - Population, Households and Employment</t>
  </si>
  <si>
    <t>2045</t>
  </si>
  <si>
    <t>Percent Change - 2020 to 2045</t>
  </si>
  <si>
    <t>Change - 2020 to 2045</t>
  </si>
  <si>
    <t>2020</t>
  </si>
  <si>
    <t>Pittsburgh Chateau Area</t>
  </si>
  <si>
    <t>Pittsburgh Lower North Side</t>
  </si>
  <si>
    <t>Pittsburgh Upper North Side</t>
  </si>
  <si>
    <t>Allegheny County Northwest</t>
  </si>
  <si>
    <t>Allegheny County North (remainder)</t>
  </si>
  <si>
    <t>Hazelwood</t>
  </si>
  <si>
    <t>Squirrel Hill</t>
  </si>
  <si>
    <t>Oakland</t>
  </si>
  <si>
    <t>South Side</t>
  </si>
  <si>
    <t>Shadyside</t>
  </si>
  <si>
    <t>Waterfront (West Homestead Homestead Munhall(part))</t>
  </si>
  <si>
    <t>Downtown</t>
  </si>
  <si>
    <t>East Liberty</t>
  </si>
  <si>
    <t>Strip District</t>
  </si>
  <si>
    <t>Pittsburgh East (remainder)</t>
  </si>
  <si>
    <t>Hays Lincoln Place</t>
  </si>
  <si>
    <t>Verona Oakmont Penn Hills</t>
  </si>
  <si>
    <t>Plum Borough</t>
  </si>
  <si>
    <t>Monroeville Pitcairn Turtle Creek</t>
  </si>
  <si>
    <t>Wilkinsburg Wilkins Braddock and vicinity</t>
  </si>
  <si>
    <t>Wilmerding Wall North Versailles</t>
  </si>
  <si>
    <t>McKeesport White Oak</t>
  </si>
  <si>
    <t>Lincoln Liberty Port Vue</t>
  </si>
  <si>
    <t>Elizabeth Forward South Versailles</t>
  </si>
  <si>
    <t>Munhall Whitaker Duquesne</t>
  </si>
  <si>
    <t>Baldwin Brentwood Whitehall West Mifflin</t>
  </si>
  <si>
    <t>Allegheny County Southeast (remainder)</t>
  </si>
  <si>
    <t>Allegheny County West</t>
  </si>
  <si>
    <t>Armstrong County East</t>
  </si>
  <si>
    <t>Armstrong County West</t>
  </si>
  <si>
    <t>Beaver County South</t>
  </si>
  <si>
    <t>Beaver County North</t>
  </si>
  <si>
    <t>Butler County</t>
  </si>
  <si>
    <t>Fayette County</t>
  </si>
  <si>
    <t>Greene County</t>
  </si>
  <si>
    <t>Indiana County</t>
  </si>
  <si>
    <t>Lawrence County</t>
  </si>
  <si>
    <t>Washington County</t>
  </si>
  <si>
    <t>Westmoreland County</t>
  </si>
  <si>
    <t>Midtown/Uptown</t>
  </si>
  <si>
    <t>Highland Park</t>
  </si>
  <si>
    <t>Homewood/Lincoln-Lemington</t>
  </si>
  <si>
    <t>Pittsburgh Southwest (remainder)</t>
  </si>
  <si>
    <t>Allegheny County Southcentral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</si>
</sst>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0"/>
      <color theme="1"/>
      <name val="Arial"/>
      <family val="2"/>
    </font>
    <font>
      <sz val="10"/>
      <name val="MS Sans Serif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49" fontId="3" fillId="0" borderId="0" xfId="0" applyNumberFormat="1" applyFont="1" applyAlignment="1">
      <alignment horizontal="centerContinuous" vertical="center"/>
    </xf>
    <xf numFmtId="49" fontId="4" fillId="0" borderId="0" xfId="0" applyNumberFormat="1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7" fillId="0" borderId="13" xfId="0" applyFont="1" applyBorder="1" applyAlignment="1">
      <alignment horizontal="centerContinuous" vertical="center"/>
    </xf>
    <xf numFmtId="0" fontId="7" fillId="0" borderId="14" xfId="0" applyFont="1" applyBorder="1" applyAlignment="1">
      <alignment horizontal="centerContinuous" vertical="center"/>
    </xf>
    <xf numFmtId="0" fontId="7" fillId="0" borderId="15" xfId="0" applyFont="1" applyBorder="1" applyAlignment="1">
      <alignment horizontal="centerContinuous"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horizontal="right" vertical="center" indent="1"/>
    </xf>
    <xf numFmtId="0" fontId="2" fillId="0" borderId="10" xfId="0" applyFont="1" applyBorder="1" applyAlignment="1">
      <alignment horizontal="left" vertical="center" indent="1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horizontal="left" vertical="center" indent="1"/>
    </xf>
    <xf numFmtId="3" fontId="2" fillId="0" borderId="5" xfId="0" quotePrefix="1" applyNumberFormat="1" applyFont="1" applyBorder="1" applyAlignment="1">
      <alignment horizontal="right" vertical="center" indent="1"/>
    </xf>
    <xf numFmtId="3" fontId="2" fillId="0" borderId="6" xfId="0" quotePrefix="1" applyNumberFormat="1" applyFont="1" applyBorder="1" applyAlignment="1">
      <alignment horizontal="right" vertical="center" indent="1"/>
    </xf>
    <xf numFmtId="3" fontId="2" fillId="0" borderId="7" xfId="0" quotePrefix="1" applyNumberFormat="1" applyFont="1" applyBorder="1" applyAlignment="1">
      <alignment horizontal="right" vertical="center" indent="1"/>
    </xf>
    <xf numFmtId="3" fontId="2" fillId="0" borderId="8" xfId="0" quotePrefix="1" applyNumberFormat="1" applyFont="1" applyBorder="1" applyAlignment="1">
      <alignment horizontal="right" vertical="center" indent="1"/>
    </xf>
    <xf numFmtId="3" fontId="2" fillId="0" borderId="9" xfId="0" quotePrefix="1" applyNumberFormat="1" applyFont="1" applyBorder="1" applyAlignment="1">
      <alignment horizontal="right" vertical="center" indent="1"/>
    </xf>
    <xf numFmtId="3" fontId="2" fillId="0" borderId="10" xfId="0" quotePrefix="1" applyNumberFormat="1" applyFont="1" applyBorder="1" applyAlignment="1">
      <alignment horizontal="right" vertical="center" indent="1"/>
    </xf>
    <xf numFmtId="3" fontId="2" fillId="0" borderId="3" xfId="0" applyNumberFormat="1" applyFont="1" applyBorder="1" applyAlignment="1">
      <alignment horizontal="right" vertical="center" indent="1"/>
    </xf>
    <xf numFmtId="3" fontId="2" fillId="0" borderId="1" xfId="0" applyNumberFormat="1" applyFont="1" applyBorder="1" applyAlignment="1">
      <alignment horizontal="right" vertical="center" indent="1"/>
    </xf>
    <xf numFmtId="3" fontId="2" fillId="0" borderId="2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2" fontId="2" fillId="0" borderId="7" xfId="0" applyNumberFormat="1" applyFont="1" applyBorder="1" applyAlignment="1">
      <alignment horizontal="right" vertical="center" indent="1"/>
    </xf>
    <xf numFmtId="2" fontId="2" fillId="0" borderId="10" xfId="0" applyNumberFormat="1" applyFont="1" applyBorder="1" applyAlignment="1">
      <alignment horizontal="right" vertical="center" indent="1"/>
    </xf>
    <xf numFmtId="2" fontId="2" fillId="0" borderId="2" xfId="0" applyNumberFormat="1" applyFont="1" applyBorder="1" applyAlignment="1">
      <alignment horizontal="right" vertical="center" indent="1"/>
    </xf>
    <xf numFmtId="164" fontId="2" fillId="0" borderId="7" xfId="0" applyNumberFormat="1" applyFont="1" applyBorder="1" applyAlignment="1">
      <alignment horizontal="right" vertical="center" indent="1"/>
    </xf>
    <xf numFmtId="164" fontId="2" fillId="0" borderId="10" xfId="0" applyNumberFormat="1" applyFont="1" applyBorder="1" applyAlignment="1">
      <alignment horizontal="right" vertical="center" indent="1"/>
    </xf>
    <xf numFmtId="164" fontId="2" fillId="0" borderId="2" xfId="0" applyNumberFormat="1" applyFont="1" applyBorder="1" applyAlignment="1">
      <alignment horizontal="right" vertical="center" indent="1"/>
    </xf>
    <xf numFmtId="10" fontId="2" fillId="0" borderId="5" xfId="0" quotePrefix="1" applyNumberFormat="1" applyFont="1" applyBorder="1" applyAlignment="1">
      <alignment horizontal="right" vertical="center" indent="1"/>
    </xf>
    <xf numFmtId="10" fontId="2" fillId="0" borderId="6" xfId="0" quotePrefix="1" applyNumberFormat="1" applyFont="1" applyBorder="1" applyAlignment="1">
      <alignment horizontal="right" vertical="center" indent="1"/>
    </xf>
    <xf numFmtId="10" fontId="2" fillId="0" borderId="7" xfId="0" quotePrefix="1" applyNumberFormat="1" applyFont="1" applyBorder="1" applyAlignment="1">
      <alignment horizontal="right" vertical="center" indent="1"/>
    </xf>
    <xf numFmtId="10" fontId="2" fillId="0" borderId="8" xfId="0" quotePrefix="1" applyNumberFormat="1" applyFont="1" applyBorder="1" applyAlignment="1">
      <alignment horizontal="right" vertical="center" indent="1"/>
    </xf>
    <xf numFmtId="10" fontId="2" fillId="0" borderId="9" xfId="0" quotePrefix="1" applyNumberFormat="1" applyFont="1" applyBorder="1" applyAlignment="1">
      <alignment horizontal="right" vertical="center" indent="1"/>
    </xf>
    <xf numFmtId="10" fontId="2" fillId="0" borderId="10" xfId="0" quotePrefix="1" applyNumberFormat="1" applyFont="1" applyBorder="1" applyAlignment="1">
      <alignment horizontal="right" vertical="center" indent="1"/>
    </xf>
    <xf numFmtId="10" fontId="2" fillId="0" borderId="3" xfId="0" quotePrefix="1" applyNumberFormat="1" applyFont="1" applyBorder="1" applyAlignment="1">
      <alignment horizontal="right" vertical="center" indent="1"/>
    </xf>
    <xf numFmtId="10" fontId="2" fillId="0" borderId="1" xfId="0" quotePrefix="1" applyNumberFormat="1" applyFont="1" applyBorder="1" applyAlignment="1">
      <alignment horizontal="right" vertical="center" indent="1"/>
    </xf>
    <xf numFmtId="10" fontId="2" fillId="0" borderId="2" xfId="0" quotePrefix="1" applyNumberFormat="1" applyFont="1" applyBorder="1" applyAlignment="1">
      <alignment horizontal="right" vertical="center" indent="1"/>
    </xf>
    <xf numFmtId="0" fontId="2" fillId="0" borderId="4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O52"/>
  <sheetViews>
    <sheetView tabSelected="1" zoomScale="75" zoomScaleNormal="75" workbookViewId="0"/>
  </sheetViews>
  <sheetFormatPr defaultRowHeight="12.75"/>
  <cols>
    <col min="1" max="1" width="9.140625" style="7"/>
    <col min="2" max="2" width="9.28515625" style="7" bestFit="1" customWidth="1"/>
    <col min="3" max="3" width="55.7109375" style="7" customWidth="1"/>
    <col min="4" max="4" width="2.7109375" style="7" customWidth="1"/>
    <col min="5" max="9" width="14.7109375" style="7" customWidth="1"/>
    <col min="10" max="10" width="2.7109375" style="7" customWidth="1"/>
    <col min="11" max="15" width="14.7109375" style="7" customWidth="1"/>
    <col min="16" max="16384" width="9.140625" style="7"/>
  </cols>
  <sheetData>
    <row r="3" spans="2:15" ht="20.25">
      <c r="B3" s="8" t="s">
        <v>18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2:15" ht="18">
      <c r="B4" s="9" t="s">
        <v>22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2:15" ht="13.5" thickBot="1"/>
    <row r="6" spans="2:15" ht="20.100000000000001" customHeight="1" thickBot="1">
      <c r="B6" s="14"/>
      <c r="C6" s="15"/>
      <c r="E6" s="11" t="s">
        <v>2</v>
      </c>
      <c r="F6" s="12"/>
      <c r="G6" s="12"/>
      <c r="H6" s="12"/>
      <c r="I6" s="13"/>
      <c r="K6" s="11" t="s">
        <v>12</v>
      </c>
      <c r="L6" s="12"/>
      <c r="M6" s="12"/>
      <c r="N6" s="12"/>
      <c r="O6" s="13"/>
    </row>
    <row r="7" spans="2:15" ht="15" customHeight="1" thickBot="1">
      <c r="B7" s="46" t="s">
        <v>0</v>
      </c>
      <c r="C7" s="47" t="s">
        <v>1</v>
      </c>
      <c r="E7" s="3" t="s">
        <v>3</v>
      </c>
      <c r="F7" s="1" t="s">
        <v>4</v>
      </c>
      <c r="G7" s="1" t="s">
        <v>5</v>
      </c>
      <c r="H7" s="1" t="s">
        <v>6</v>
      </c>
      <c r="I7" s="2" t="s">
        <v>7</v>
      </c>
      <c r="K7" s="4" t="s">
        <v>13</v>
      </c>
      <c r="L7" s="5" t="s">
        <v>9</v>
      </c>
      <c r="M7" s="5" t="s">
        <v>8</v>
      </c>
      <c r="N7" s="5" t="s">
        <v>10</v>
      </c>
      <c r="O7" s="6" t="s">
        <v>11</v>
      </c>
    </row>
    <row r="8" spans="2:15" ht="15" customHeight="1">
      <c r="B8" s="16">
        <v>1</v>
      </c>
      <c r="C8" s="17" t="s">
        <v>23</v>
      </c>
      <c r="E8" s="20">
        <f>SUM(F8:I8)</f>
        <v>14140</v>
      </c>
      <c r="F8" s="21">
        <v>345</v>
      </c>
      <c r="G8" s="21">
        <v>515</v>
      </c>
      <c r="H8" s="21">
        <v>12247</v>
      </c>
      <c r="I8" s="22">
        <v>1033</v>
      </c>
      <c r="K8" s="48">
        <f>L8+M8</f>
        <v>10331</v>
      </c>
      <c r="L8" s="24">
        <v>2233</v>
      </c>
      <c r="M8" s="24">
        <v>8098</v>
      </c>
      <c r="N8" s="24">
        <v>3574</v>
      </c>
      <c r="O8" s="30">
        <f>IF((N8=0),(0),(M8/N8))</f>
        <v>2.2658086177951873</v>
      </c>
    </row>
    <row r="9" spans="2:15" ht="15" customHeight="1">
      <c r="B9" s="16">
        <v>2</v>
      </c>
      <c r="C9" s="17" t="s">
        <v>24</v>
      </c>
      <c r="E9" s="23">
        <f t="shared" ref="E9:E51" si="0">SUM(F9:I9)</f>
        <v>17282</v>
      </c>
      <c r="F9" s="24">
        <v>829</v>
      </c>
      <c r="G9" s="24">
        <v>1075</v>
      </c>
      <c r="H9" s="24">
        <v>13324</v>
      </c>
      <c r="I9" s="25">
        <v>2054</v>
      </c>
      <c r="K9" s="48">
        <f t="shared" ref="K9:K52" si="1">L9+M9</f>
        <v>6650</v>
      </c>
      <c r="L9" s="24">
        <v>190</v>
      </c>
      <c r="M9" s="24">
        <v>6460</v>
      </c>
      <c r="N9" s="24">
        <v>3895</v>
      </c>
      <c r="O9" s="31">
        <f t="shared" ref="O9:O52" si="2">IF((N9=0),(0),(M9/N9))</f>
        <v>1.6585365853658536</v>
      </c>
    </row>
    <row r="10" spans="2:15" ht="15" customHeight="1">
      <c r="B10" s="16">
        <v>3</v>
      </c>
      <c r="C10" s="17" t="s">
        <v>25</v>
      </c>
      <c r="E10" s="23">
        <f t="shared" si="0"/>
        <v>7147</v>
      </c>
      <c r="F10" s="24">
        <v>687</v>
      </c>
      <c r="G10" s="24">
        <v>402</v>
      </c>
      <c r="H10" s="24">
        <v>5781</v>
      </c>
      <c r="I10" s="25">
        <v>277</v>
      </c>
      <c r="K10" s="48">
        <f t="shared" si="1"/>
        <v>22299</v>
      </c>
      <c r="L10" s="24">
        <v>418</v>
      </c>
      <c r="M10" s="24">
        <v>21881</v>
      </c>
      <c r="N10" s="24">
        <v>9961</v>
      </c>
      <c r="O10" s="31">
        <f t="shared" si="2"/>
        <v>2.19666700130509</v>
      </c>
    </row>
    <row r="11" spans="2:15" ht="15" customHeight="1">
      <c r="B11" s="16">
        <v>4</v>
      </c>
      <c r="C11" s="17" t="s">
        <v>26</v>
      </c>
      <c r="E11" s="23">
        <f t="shared" si="0"/>
        <v>21135</v>
      </c>
      <c r="F11" s="24">
        <v>1637</v>
      </c>
      <c r="G11" s="24">
        <v>3527</v>
      </c>
      <c r="H11" s="24">
        <v>14070</v>
      </c>
      <c r="I11" s="25">
        <v>1901</v>
      </c>
      <c r="K11" s="48">
        <f t="shared" si="1"/>
        <v>37885</v>
      </c>
      <c r="L11" s="24">
        <v>640</v>
      </c>
      <c r="M11" s="24">
        <v>37245</v>
      </c>
      <c r="N11" s="24">
        <v>17082</v>
      </c>
      <c r="O11" s="31">
        <f t="shared" si="2"/>
        <v>2.1803652968036529</v>
      </c>
    </row>
    <row r="12" spans="2:15" ht="15" customHeight="1">
      <c r="B12" s="16">
        <v>5</v>
      </c>
      <c r="C12" s="17" t="s">
        <v>27</v>
      </c>
      <c r="E12" s="23">
        <f t="shared" si="0"/>
        <v>158121</v>
      </c>
      <c r="F12" s="24">
        <v>8953</v>
      </c>
      <c r="G12" s="24">
        <v>31001</v>
      </c>
      <c r="H12" s="24">
        <v>101676</v>
      </c>
      <c r="I12" s="25">
        <v>16491</v>
      </c>
      <c r="K12" s="48">
        <f t="shared" si="1"/>
        <v>248001</v>
      </c>
      <c r="L12" s="24">
        <v>3016</v>
      </c>
      <c r="M12" s="24">
        <v>244985</v>
      </c>
      <c r="N12" s="24">
        <v>102428</v>
      </c>
      <c r="O12" s="31">
        <f t="shared" si="2"/>
        <v>2.3917776389268561</v>
      </c>
    </row>
    <row r="13" spans="2:15" ht="15" customHeight="1">
      <c r="B13" s="16">
        <v>6</v>
      </c>
      <c r="C13" s="17" t="s">
        <v>28</v>
      </c>
      <c r="E13" s="23">
        <f t="shared" si="0"/>
        <v>2662</v>
      </c>
      <c r="F13" s="24">
        <v>102</v>
      </c>
      <c r="G13" s="24">
        <v>104</v>
      </c>
      <c r="H13" s="24">
        <v>2255</v>
      </c>
      <c r="I13" s="25">
        <v>201</v>
      </c>
      <c r="K13" s="48">
        <f t="shared" si="1"/>
        <v>7593</v>
      </c>
      <c r="L13" s="24">
        <v>241</v>
      </c>
      <c r="M13" s="24">
        <v>7352</v>
      </c>
      <c r="N13" s="24">
        <v>3204</v>
      </c>
      <c r="O13" s="31">
        <f t="shared" si="2"/>
        <v>2.2946317103620473</v>
      </c>
    </row>
    <row r="14" spans="2:15" ht="15" customHeight="1">
      <c r="B14" s="16">
        <v>7</v>
      </c>
      <c r="C14" s="17" t="s">
        <v>29</v>
      </c>
      <c r="E14" s="23">
        <f t="shared" si="0"/>
        <v>10766</v>
      </c>
      <c r="F14" s="24">
        <v>203</v>
      </c>
      <c r="G14" s="24">
        <v>1599</v>
      </c>
      <c r="H14" s="24">
        <v>8664</v>
      </c>
      <c r="I14" s="25">
        <v>300</v>
      </c>
      <c r="K14" s="48">
        <f t="shared" si="1"/>
        <v>31688</v>
      </c>
      <c r="L14" s="24">
        <v>832</v>
      </c>
      <c r="M14" s="24">
        <v>30856</v>
      </c>
      <c r="N14" s="24">
        <v>13875</v>
      </c>
      <c r="O14" s="31">
        <f t="shared" si="2"/>
        <v>2.2238558558558559</v>
      </c>
    </row>
    <row r="15" spans="2:15" ht="15" customHeight="1">
      <c r="B15" s="16">
        <v>8</v>
      </c>
      <c r="C15" s="17" t="s">
        <v>30</v>
      </c>
      <c r="E15" s="23">
        <f t="shared" si="0"/>
        <v>70025</v>
      </c>
      <c r="F15" s="24">
        <v>257</v>
      </c>
      <c r="G15" s="24">
        <v>3274</v>
      </c>
      <c r="H15" s="24">
        <v>65199</v>
      </c>
      <c r="I15" s="25">
        <v>1295</v>
      </c>
      <c r="K15" s="48">
        <f t="shared" si="1"/>
        <v>26083</v>
      </c>
      <c r="L15" s="24">
        <v>9834</v>
      </c>
      <c r="M15" s="24">
        <v>16249</v>
      </c>
      <c r="N15" s="24">
        <v>7506</v>
      </c>
      <c r="O15" s="31">
        <f t="shared" si="2"/>
        <v>2.1648014921396217</v>
      </c>
    </row>
    <row r="16" spans="2:15" ht="15" customHeight="1">
      <c r="B16" s="16">
        <v>9</v>
      </c>
      <c r="C16" s="17" t="s">
        <v>31</v>
      </c>
      <c r="E16" s="23">
        <f t="shared" si="0"/>
        <v>14412</v>
      </c>
      <c r="F16" s="24">
        <v>662</v>
      </c>
      <c r="G16" s="24">
        <v>3895</v>
      </c>
      <c r="H16" s="24">
        <v>8653</v>
      </c>
      <c r="I16" s="25">
        <v>1202</v>
      </c>
      <c r="K16" s="48">
        <f t="shared" si="1"/>
        <v>10961</v>
      </c>
      <c r="L16" s="24">
        <v>144</v>
      </c>
      <c r="M16" s="24">
        <v>10817</v>
      </c>
      <c r="N16" s="24">
        <v>5308</v>
      </c>
      <c r="O16" s="31">
        <f t="shared" si="2"/>
        <v>2.0378673700075356</v>
      </c>
    </row>
    <row r="17" spans="2:15" ht="15" customHeight="1">
      <c r="B17" s="16">
        <v>10</v>
      </c>
      <c r="C17" s="17" t="s">
        <v>32</v>
      </c>
      <c r="E17" s="23">
        <f t="shared" si="0"/>
        <v>8188</v>
      </c>
      <c r="F17" s="24">
        <v>96</v>
      </c>
      <c r="G17" s="24">
        <v>2069</v>
      </c>
      <c r="H17" s="24">
        <v>5785</v>
      </c>
      <c r="I17" s="25">
        <v>238</v>
      </c>
      <c r="K17" s="48">
        <f t="shared" si="1"/>
        <v>13665</v>
      </c>
      <c r="L17" s="24">
        <v>671</v>
      </c>
      <c r="M17" s="24">
        <v>12994</v>
      </c>
      <c r="N17" s="24">
        <v>7466</v>
      </c>
      <c r="O17" s="31">
        <f t="shared" si="2"/>
        <v>1.7404232520760783</v>
      </c>
    </row>
    <row r="18" spans="2:15" ht="15" customHeight="1">
      <c r="B18" s="16">
        <v>11</v>
      </c>
      <c r="C18" s="17" t="s">
        <v>33</v>
      </c>
      <c r="E18" s="23">
        <f t="shared" si="0"/>
        <v>7639</v>
      </c>
      <c r="F18" s="24">
        <v>213</v>
      </c>
      <c r="G18" s="24">
        <v>3993</v>
      </c>
      <c r="H18" s="24">
        <v>2998</v>
      </c>
      <c r="I18" s="25">
        <v>435</v>
      </c>
      <c r="K18" s="48">
        <f t="shared" si="1"/>
        <v>6715</v>
      </c>
      <c r="L18" s="24">
        <v>32</v>
      </c>
      <c r="M18" s="24">
        <v>6683</v>
      </c>
      <c r="N18" s="24">
        <v>3063</v>
      </c>
      <c r="O18" s="31">
        <f t="shared" si="2"/>
        <v>2.1818478615736208</v>
      </c>
    </row>
    <row r="19" spans="2:15" ht="15" customHeight="1">
      <c r="B19" s="16">
        <v>12</v>
      </c>
      <c r="C19" s="17" t="s">
        <v>34</v>
      </c>
      <c r="E19" s="23">
        <f t="shared" si="0"/>
        <v>131985</v>
      </c>
      <c r="F19" s="24">
        <v>982</v>
      </c>
      <c r="G19" s="24">
        <v>6224</v>
      </c>
      <c r="H19" s="24">
        <v>121973</v>
      </c>
      <c r="I19" s="25">
        <v>2806</v>
      </c>
      <c r="K19" s="48">
        <f t="shared" si="1"/>
        <v>4590</v>
      </c>
      <c r="L19" s="24">
        <v>1182</v>
      </c>
      <c r="M19" s="24">
        <v>3408</v>
      </c>
      <c r="N19" s="24">
        <v>2289</v>
      </c>
      <c r="O19" s="31">
        <f t="shared" si="2"/>
        <v>1.4888597640891219</v>
      </c>
    </row>
    <row r="20" spans="2:15" ht="15" customHeight="1">
      <c r="B20" s="16">
        <v>13</v>
      </c>
      <c r="C20" s="17" t="s">
        <v>35</v>
      </c>
      <c r="E20" s="23">
        <f t="shared" si="0"/>
        <v>10320</v>
      </c>
      <c r="F20" s="24">
        <v>439</v>
      </c>
      <c r="G20" s="24">
        <v>1292</v>
      </c>
      <c r="H20" s="24">
        <v>8367</v>
      </c>
      <c r="I20" s="25">
        <v>222</v>
      </c>
      <c r="K20" s="48">
        <f t="shared" si="1"/>
        <v>6995</v>
      </c>
      <c r="L20" s="24">
        <v>468</v>
      </c>
      <c r="M20" s="24">
        <v>6527</v>
      </c>
      <c r="N20" s="24">
        <v>3495</v>
      </c>
      <c r="O20" s="31">
        <f t="shared" si="2"/>
        <v>1.8675250357653792</v>
      </c>
    </row>
    <row r="21" spans="2:15" ht="15" customHeight="1">
      <c r="B21" s="16">
        <v>14</v>
      </c>
      <c r="C21" s="17" t="s">
        <v>36</v>
      </c>
      <c r="E21" s="23">
        <f t="shared" si="0"/>
        <v>5695</v>
      </c>
      <c r="F21" s="24">
        <v>214</v>
      </c>
      <c r="G21" s="24">
        <v>1014</v>
      </c>
      <c r="H21" s="24">
        <v>3590</v>
      </c>
      <c r="I21" s="25">
        <v>877</v>
      </c>
      <c r="K21" s="48">
        <f t="shared" si="1"/>
        <v>773</v>
      </c>
      <c r="L21" s="24">
        <v>13</v>
      </c>
      <c r="M21" s="24">
        <v>760</v>
      </c>
      <c r="N21" s="24">
        <v>605</v>
      </c>
      <c r="O21" s="31">
        <f t="shared" si="2"/>
        <v>1.2561983471074381</v>
      </c>
    </row>
    <row r="22" spans="2:15" ht="15" customHeight="1">
      <c r="B22" s="16">
        <v>15</v>
      </c>
      <c r="C22" s="17" t="s">
        <v>37</v>
      </c>
      <c r="E22" s="23">
        <f t="shared" si="0"/>
        <v>23170</v>
      </c>
      <c r="F22" s="24">
        <v>1323</v>
      </c>
      <c r="G22" s="24">
        <v>2939</v>
      </c>
      <c r="H22" s="24">
        <v>16430</v>
      </c>
      <c r="I22" s="25">
        <v>2478</v>
      </c>
      <c r="K22" s="48">
        <f t="shared" si="1"/>
        <v>35945</v>
      </c>
      <c r="L22" s="24">
        <v>446</v>
      </c>
      <c r="M22" s="24">
        <v>35499</v>
      </c>
      <c r="N22" s="24">
        <v>17886</v>
      </c>
      <c r="O22" s="31">
        <f t="shared" si="2"/>
        <v>1.9847366655484737</v>
      </c>
    </row>
    <row r="23" spans="2:15" ht="15" customHeight="1">
      <c r="B23" s="16">
        <v>16</v>
      </c>
      <c r="C23" s="17" t="s">
        <v>38</v>
      </c>
      <c r="E23" s="23">
        <f t="shared" si="0"/>
        <v>1205</v>
      </c>
      <c r="F23" s="24">
        <v>93</v>
      </c>
      <c r="G23" s="24">
        <v>119</v>
      </c>
      <c r="H23" s="24">
        <v>760</v>
      </c>
      <c r="I23" s="25">
        <v>233</v>
      </c>
      <c r="K23" s="48">
        <f t="shared" si="1"/>
        <v>4859</v>
      </c>
      <c r="L23" s="24">
        <v>0</v>
      </c>
      <c r="M23" s="24">
        <v>4859</v>
      </c>
      <c r="N23" s="24">
        <v>2014</v>
      </c>
      <c r="O23" s="31">
        <f t="shared" si="2"/>
        <v>2.4126117179741806</v>
      </c>
    </row>
    <row r="24" spans="2:15" ht="15" customHeight="1">
      <c r="B24" s="16">
        <v>17</v>
      </c>
      <c r="C24" s="17" t="s">
        <v>39</v>
      </c>
      <c r="E24" s="23">
        <f t="shared" si="0"/>
        <v>21555</v>
      </c>
      <c r="F24" s="24">
        <v>1688</v>
      </c>
      <c r="G24" s="24">
        <v>3681</v>
      </c>
      <c r="H24" s="24">
        <v>13598</v>
      </c>
      <c r="I24" s="25">
        <v>2588</v>
      </c>
      <c r="K24" s="48">
        <f t="shared" si="1"/>
        <v>49818</v>
      </c>
      <c r="L24" s="24">
        <v>393</v>
      </c>
      <c r="M24" s="24">
        <v>49425</v>
      </c>
      <c r="N24" s="24">
        <v>22535</v>
      </c>
      <c r="O24" s="31">
        <f t="shared" si="2"/>
        <v>2.1932549367650322</v>
      </c>
    </row>
    <row r="25" spans="2:15" ht="15" customHeight="1">
      <c r="B25" s="16">
        <v>18</v>
      </c>
      <c r="C25" s="17" t="s">
        <v>40</v>
      </c>
      <c r="E25" s="23">
        <f t="shared" si="0"/>
        <v>9175</v>
      </c>
      <c r="F25" s="24">
        <v>1109</v>
      </c>
      <c r="G25" s="24">
        <v>1361</v>
      </c>
      <c r="H25" s="24">
        <v>5279</v>
      </c>
      <c r="I25" s="25">
        <v>1426</v>
      </c>
      <c r="K25" s="48">
        <f t="shared" si="1"/>
        <v>27616</v>
      </c>
      <c r="L25" s="24">
        <v>138</v>
      </c>
      <c r="M25" s="24">
        <v>27478</v>
      </c>
      <c r="N25" s="24">
        <v>11203</v>
      </c>
      <c r="O25" s="31">
        <f t="shared" si="2"/>
        <v>2.4527358743193788</v>
      </c>
    </row>
    <row r="26" spans="2:15" ht="15" customHeight="1">
      <c r="B26" s="16">
        <v>19</v>
      </c>
      <c r="C26" s="17" t="s">
        <v>41</v>
      </c>
      <c r="E26" s="23">
        <f t="shared" si="0"/>
        <v>37951</v>
      </c>
      <c r="F26" s="24">
        <v>676</v>
      </c>
      <c r="G26" s="24">
        <v>10323</v>
      </c>
      <c r="H26" s="24">
        <v>23827</v>
      </c>
      <c r="I26" s="25">
        <v>3125</v>
      </c>
      <c r="K26" s="48">
        <f t="shared" si="1"/>
        <v>36479</v>
      </c>
      <c r="L26" s="24">
        <v>689</v>
      </c>
      <c r="M26" s="24">
        <v>35790</v>
      </c>
      <c r="N26" s="24">
        <v>16382</v>
      </c>
      <c r="O26" s="31">
        <f t="shared" si="2"/>
        <v>2.1847149310218534</v>
      </c>
    </row>
    <row r="27" spans="2:15" ht="15" customHeight="1">
      <c r="B27" s="16">
        <v>20</v>
      </c>
      <c r="C27" s="17" t="s">
        <v>42</v>
      </c>
      <c r="E27" s="23">
        <f t="shared" si="0"/>
        <v>22230</v>
      </c>
      <c r="F27" s="24">
        <v>1341</v>
      </c>
      <c r="G27" s="24">
        <v>3850</v>
      </c>
      <c r="H27" s="24">
        <v>14523</v>
      </c>
      <c r="I27" s="25">
        <v>2516</v>
      </c>
      <c r="K27" s="48">
        <f t="shared" si="1"/>
        <v>53517</v>
      </c>
      <c r="L27" s="24">
        <v>515</v>
      </c>
      <c r="M27" s="24">
        <v>53002</v>
      </c>
      <c r="N27" s="24">
        <v>26073</v>
      </c>
      <c r="O27" s="31">
        <f t="shared" si="2"/>
        <v>2.0328308978636902</v>
      </c>
    </row>
    <row r="28" spans="2:15" ht="15" customHeight="1">
      <c r="B28" s="16">
        <v>21</v>
      </c>
      <c r="C28" s="17" t="s">
        <v>43</v>
      </c>
      <c r="E28" s="23">
        <f t="shared" si="0"/>
        <v>9135</v>
      </c>
      <c r="F28" s="24">
        <v>2410</v>
      </c>
      <c r="G28" s="24">
        <v>1848</v>
      </c>
      <c r="H28" s="24">
        <v>3856</v>
      </c>
      <c r="I28" s="25">
        <v>1021</v>
      </c>
      <c r="K28" s="48">
        <f t="shared" si="1"/>
        <v>16945</v>
      </c>
      <c r="L28" s="24">
        <v>81</v>
      </c>
      <c r="M28" s="24">
        <v>16864</v>
      </c>
      <c r="N28" s="24">
        <v>7505</v>
      </c>
      <c r="O28" s="31">
        <f t="shared" si="2"/>
        <v>2.2470353097934712</v>
      </c>
    </row>
    <row r="29" spans="2:15" ht="15" customHeight="1">
      <c r="B29" s="16">
        <v>22</v>
      </c>
      <c r="C29" s="17" t="s">
        <v>44</v>
      </c>
      <c r="E29" s="23">
        <f t="shared" si="0"/>
        <v>12179</v>
      </c>
      <c r="F29" s="24">
        <v>486</v>
      </c>
      <c r="G29" s="24">
        <v>1999</v>
      </c>
      <c r="H29" s="24">
        <v>8824</v>
      </c>
      <c r="I29" s="25">
        <v>870</v>
      </c>
      <c r="K29" s="48">
        <f t="shared" si="1"/>
        <v>27650</v>
      </c>
      <c r="L29" s="24">
        <v>1023</v>
      </c>
      <c r="M29" s="24">
        <v>26627</v>
      </c>
      <c r="N29" s="24">
        <v>12634</v>
      </c>
      <c r="O29" s="31">
        <f t="shared" si="2"/>
        <v>2.1075668830140888</v>
      </c>
    </row>
    <row r="30" spans="2:15" ht="15" customHeight="1">
      <c r="B30" s="16">
        <v>23</v>
      </c>
      <c r="C30" s="17" t="s">
        <v>45</v>
      </c>
      <c r="E30" s="23">
        <f t="shared" si="0"/>
        <v>2593</v>
      </c>
      <c r="F30" s="24">
        <v>314</v>
      </c>
      <c r="G30" s="24">
        <v>310</v>
      </c>
      <c r="H30" s="24">
        <v>1337</v>
      </c>
      <c r="I30" s="25">
        <v>632</v>
      </c>
      <c r="K30" s="48">
        <f t="shared" si="1"/>
        <v>12494</v>
      </c>
      <c r="L30" s="24">
        <v>81</v>
      </c>
      <c r="M30" s="24">
        <v>12413</v>
      </c>
      <c r="N30" s="24">
        <v>5667</v>
      </c>
      <c r="O30" s="31">
        <f t="shared" si="2"/>
        <v>2.1904005646726663</v>
      </c>
    </row>
    <row r="31" spans="2:15" ht="15" customHeight="1">
      <c r="B31" s="16">
        <v>24</v>
      </c>
      <c r="C31" s="17" t="s">
        <v>46</v>
      </c>
      <c r="E31" s="23">
        <f t="shared" si="0"/>
        <v>5025</v>
      </c>
      <c r="F31" s="24">
        <v>223</v>
      </c>
      <c r="G31" s="24">
        <v>741</v>
      </c>
      <c r="H31" s="24">
        <v>3235</v>
      </c>
      <c r="I31" s="25">
        <v>826</v>
      </c>
      <c r="K31" s="48">
        <f t="shared" si="1"/>
        <v>17858</v>
      </c>
      <c r="L31" s="24">
        <v>22</v>
      </c>
      <c r="M31" s="24">
        <v>17836</v>
      </c>
      <c r="N31" s="24">
        <v>7610</v>
      </c>
      <c r="O31" s="31">
        <f t="shared" si="2"/>
        <v>2.3437582128777925</v>
      </c>
    </row>
    <row r="32" spans="2:15" ht="15" customHeight="1">
      <c r="B32" s="16">
        <v>25</v>
      </c>
      <c r="C32" s="17" t="s">
        <v>47</v>
      </c>
      <c r="E32" s="23">
        <f t="shared" si="0"/>
        <v>7250</v>
      </c>
      <c r="F32" s="24">
        <v>322</v>
      </c>
      <c r="G32" s="24">
        <v>1292</v>
      </c>
      <c r="H32" s="24">
        <v>4652</v>
      </c>
      <c r="I32" s="25">
        <v>984</v>
      </c>
      <c r="K32" s="48">
        <f t="shared" si="1"/>
        <v>29506</v>
      </c>
      <c r="L32" s="24">
        <v>218</v>
      </c>
      <c r="M32" s="24">
        <v>29288</v>
      </c>
      <c r="N32" s="24">
        <v>12812</v>
      </c>
      <c r="O32" s="31">
        <f t="shared" si="2"/>
        <v>2.2859818919762724</v>
      </c>
    </row>
    <row r="33" spans="2:15" ht="15" customHeight="1">
      <c r="B33" s="16">
        <v>26</v>
      </c>
      <c r="C33" s="17" t="s">
        <v>48</v>
      </c>
      <c r="E33" s="23">
        <f t="shared" si="0"/>
        <v>26659</v>
      </c>
      <c r="F33" s="24">
        <v>1226</v>
      </c>
      <c r="G33" s="24">
        <v>8438</v>
      </c>
      <c r="H33" s="24">
        <v>14361</v>
      </c>
      <c r="I33" s="25">
        <v>2634</v>
      </c>
      <c r="K33" s="48">
        <f t="shared" si="1"/>
        <v>58599</v>
      </c>
      <c r="L33" s="24">
        <v>509</v>
      </c>
      <c r="M33" s="24">
        <v>58090</v>
      </c>
      <c r="N33" s="24">
        <v>24837</v>
      </c>
      <c r="O33" s="31">
        <f t="shared" si="2"/>
        <v>2.338849297419173</v>
      </c>
    </row>
    <row r="34" spans="2:15" ht="15" customHeight="1">
      <c r="B34" s="16">
        <v>27</v>
      </c>
      <c r="C34" s="17" t="s">
        <v>49</v>
      </c>
      <c r="E34" s="23">
        <f t="shared" si="0"/>
        <v>15392</v>
      </c>
      <c r="F34" s="24">
        <v>354</v>
      </c>
      <c r="G34" s="24">
        <v>1057</v>
      </c>
      <c r="H34" s="24">
        <v>12848</v>
      </c>
      <c r="I34" s="25">
        <v>1133</v>
      </c>
      <c r="K34" s="48">
        <f t="shared" si="1"/>
        <v>31923</v>
      </c>
      <c r="L34" s="24">
        <v>288</v>
      </c>
      <c r="M34" s="24">
        <v>31635</v>
      </c>
      <c r="N34" s="24">
        <v>13180</v>
      </c>
      <c r="O34" s="31">
        <f t="shared" si="2"/>
        <v>2.400227617602428</v>
      </c>
    </row>
    <row r="35" spans="2:15" ht="15" customHeight="1">
      <c r="B35" s="16">
        <v>28</v>
      </c>
      <c r="C35" s="17" t="s">
        <v>50</v>
      </c>
      <c r="E35" s="23">
        <f t="shared" si="0"/>
        <v>126964</v>
      </c>
      <c r="F35" s="24">
        <v>7302</v>
      </c>
      <c r="G35" s="24">
        <v>23239</v>
      </c>
      <c r="H35" s="24">
        <v>78169</v>
      </c>
      <c r="I35" s="25">
        <v>18254</v>
      </c>
      <c r="K35" s="48">
        <f t="shared" si="1"/>
        <v>133115</v>
      </c>
      <c r="L35" s="24">
        <v>2375</v>
      </c>
      <c r="M35" s="24">
        <v>130740</v>
      </c>
      <c r="N35" s="24">
        <v>56297</v>
      </c>
      <c r="O35" s="31">
        <f t="shared" si="2"/>
        <v>2.3223262340799686</v>
      </c>
    </row>
    <row r="36" spans="2:15" ht="15" customHeight="1">
      <c r="B36" s="16">
        <v>29</v>
      </c>
      <c r="C36" s="17" t="s">
        <v>51</v>
      </c>
      <c r="E36" s="23">
        <f t="shared" si="0"/>
        <v>16707</v>
      </c>
      <c r="F36" s="24">
        <v>1507</v>
      </c>
      <c r="G36" s="24">
        <v>2469</v>
      </c>
      <c r="H36" s="24">
        <v>9802</v>
      </c>
      <c r="I36" s="25">
        <v>2929</v>
      </c>
      <c r="K36" s="48">
        <f t="shared" si="1"/>
        <v>45660</v>
      </c>
      <c r="L36" s="24">
        <v>490</v>
      </c>
      <c r="M36" s="24">
        <v>45170</v>
      </c>
      <c r="N36" s="24">
        <v>19433</v>
      </c>
      <c r="O36" s="31">
        <f t="shared" si="2"/>
        <v>2.3243966448824165</v>
      </c>
    </row>
    <row r="37" spans="2:15" ht="15" customHeight="1">
      <c r="B37" s="16">
        <v>30</v>
      </c>
      <c r="C37" s="17" t="s">
        <v>52</v>
      </c>
      <c r="E37" s="23">
        <f t="shared" si="0"/>
        <v>8061</v>
      </c>
      <c r="F37" s="24">
        <v>527</v>
      </c>
      <c r="G37" s="24">
        <v>1691</v>
      </c>
      <c r="H37" s="24">
        <v>3953</v>
      </c>
      <c r="I37" s="25">
        <v>1890</v>
      </c>
      <c r="K37" s="48">
        <f t="shared" si="1"/>
        <v>19162</v>
      </c>
      <c r="L37" s="24">
        <v>267</v>
      </c>
      <c r="M37" s="24">
        <v>18895</v>
      </c>
      <c r="N37" s="24">
        <v>7899</v>
      </c>
      <c r="O37" s="31">
        <f t="shared" si="2"/>
        <v>2.3920749461957209</v>
      </c>
    </row>
    <row r="38" spans="2:15" ht="15" customHeight="1">
      <c r="B38" s="16">
        <v>31</v>
      </c>
      <c r="C38" s="17" t="s">
        <v>53</v>
      </c>
      <c r="E38" s="23">
        <f t="shared" si="0"/>
        <v>21500</v>
      </c>
      <c r="F38" s="24">
        <v>2604</v>
      </c>
      <c r="G38" s="24">
        <v>5058</v>
      </c>
      <c r="H38" s="24">
        <v>11660</v>
      </c>
      <c r="I38" s="25">
        <v>2178</v>
      </c>
      <c r="K38" s="48">
        <f t="shared" si="1"/>
        <v>50831</v>
      </c>
      <c r="L38" s="24">
        <v>781</v>
      </c>
      <c r="M38" s="24">
        <v>50050</v>
      </c>
      <c r="N38" s="24">
        <v>20635</v>
      </c>
      <c r="O38" s="31">
        <f t="shared" si="2"/>
        <v>2.4254906711897264</v>
      </c>
    </row>
    <row r="39" spans="2:15" ht="15" customHeight="1">
      <c r="B39" s="16">
        <v>32</v>
      </c>
      <c r="C39" s="17" t="s">
        <v>54</v>
      </c>
      <c r="E39" s="23">
        <f t="shared" si="0"/>
        <v>51008</v>
      </c>
      <c r="F39" s="24">
        <v>3858</v>
      </c>
      <c r="G39" s="24">
        <v>8189</v>
      </c>
      <c r="H39" s="24">
        <v>33524</v>
      </c>
      <c r="I39" s="25">
        <v>5437</v>
      </c>
      <c r="K39" s="48">
        <f t="shared" si="1"/>
        <v>114525</v>
      </c>
      <c r="L39" s="24">
        <v>2170</v>
      </c>
      <c r="M39" s="24">
        <v>112355</v>
      </c>
      <c r="N39" s="24">
        <v>47833</v>
      </c>
      <c r="O39" s="31">
        <f t="shared" si="2"/>
        <v>2.3489013860723769</v>
      </c>
    </row>
    <row r="40" spans="2:15" ht="15" customHeight="1">
      <c r="B40" s="16">
        <v>33</v>
      </c>
      <c r="C40" s="17" t="s">
        <v>55</v>
      </c>
      <c r="E40" s="23">
        <f t="shared" si="0"/>
        <v>120095</v>
      </c>
      <c r="F40" s="24">
        <v>12461</v>
      </c>
      <c r="G40" s="24">
        <v>21551</v>
      </c>
      <c r="H40" s="24">
        <v>69657</v>
      </c>
      <c r="I40" s="25">
        <v>16426</v>
      </c>
      <c r="K40" s="48">
        <f t="shared" si="1"/>
        <v>189577</v>
      </c>
      <c r="L40" s="24">
        <v>5584</v>
      </c>
      <c r="M40" s="24">
        <v>183993</v>
      </c>
      <c r="N40" s="24">
        <v>76551</v>
      </c>
      <c r="O40" s="31">
        <f t="shared" si="2"/>
        <v>2.403534898303092</v>
      </c>
    </row>
    <row r="41" spans="2:15" ht="15" customHeight="1">
      <c r="B41" s="16">
        <v>34</v>
      </c>
      <c r="C41" s="17" t="s">
        <v>56</v>
      </c>
      <c r="E41" s="23">
        <f t="shared" si="0"/>
        <v>55578</v>
      </c>
      <c r="F41" s="24">
        <v>3886</v>
      </c>
      <c r="G41" s="24">
        <v>10604</v>
      </c>
      <c r="H41" s="24">
        <v>34138</v>
      </c>
      <c r="I41" s="25">
        <v>6950</v>
      </c>
      <c r="K41" s="48">
        <f t="shared" si="1"/>
        <v>129158</v>
      </c>
      <c r="L41" s="24">
        <v>4697</v>
      </c>
      <c r="M41" s="24">
        <v>124461</v>
      </c>
      <c r="N41" s="24">
        <v>51731</v>
      </c>
      <c r="O41" s="31">
        <f t="shared" si="2"/>
        <v>2.4059268137093812</v>
      </c>
    </row>
    <row r="42" spans="2:15" ht="15" customHeight="1">
      <c r="B42" s="16">
        <v>35</v>
      </c>
      <c r="C42" s="17" t="s">
        <v>57</v>
      </c>
      <c r="E42" s="23">
        <f t="shared" si="0"/>
        <v>18510</v>
      </c>
      <c r="F42" s="24">
        <v>386</v>
      </c>
      <c r="G42" s="24">
        <v>2568</v>
      </c>
      <c r="H42" s="24">
        <v>8569</v>
      </c>
      <c r="I42" s="25">
        <v>6987</v>
      </c>
      <c r="K42" s="48">
        <f t="shared" si="1"/>
        <v>37184</v>
      </c>
      <c r="L42" s="24">
        <v>4375</v>
      </c>
      <c r="M42" s="24">
        <v>32809</v>
      </c>
      <c r="N42" s="24">
        <v>14192</v>
      </c>
      <c r="O42" s="31">
        <f t="shared" si="2"/>
        <v>2.3117953776775648</v>
      </c>
    </row>
    <row r="43" spans="2:15" ht="15" customHeight="1">
      <c r="B43" s="16">
        <v>36</v>
      </c>
      <c r="C43" s="17" t="s">
        <v>58</v>
      </c>
      <c r="E43" s="23">
        <f t="shared" si="0"/>
        <v>45425</v>
      </c>
      <c r="F43" s="24">
        <v>2384</v>
      </c>
      <c r="G43" s="24">
        <v>7947</v>
      </c>
      <c r="H43" s="24">
        <v>25671</v>
      </c>
      <c r="I43" s="25">
        <v>9423</v>
      </c>
      <c r="K43" s="48">
        <f t="shared" si="1"/>
        <v>87307</v>
      </c>
      <c r="L43" s="24">
        <v>5923</v>
      </c>
      <c r="M43" s="24">
        <v>81384</v>
      </c>
      <c r="N43" s="24">
        <v>33989</v>
      </c>
      <c r="O43" s="31">
        <f t="shared" si="2"/>
        <v>2.3944217246756305</v>
      </c>
    </row>
    <row r="44" spans="2:15" ht="15" customHeight="1">
      <c r="B44" s="16">
        <v>37</v>
      </c>
      <c r="C44" s="17" t="s">
        <v>59</v>
      </c>
      <c r="E44" s="23">
        <f t="shared" si="0"/>
        <v>41210</v>
      </c>
      <c r="F44" s="24">
        <v>3947</v>
      </c>
      <c r="G44" s="24">
        <v>6751</v>
      </c>
      <c r="H44" s="24">
        <v>25295</v>
      </c>
      <c r="I44" s="25">
        <v>5217</v>
      </c>
      <c r="K44" s="48">
        <f t="shared" si="1"/>
        <v>85935</v>
      </c>
      <c r="L44" s="24">
        <v>2361</v>
      </c>
      <c r="M44" s="24">
        <v>83574</v>
      </c>
      <c r="N44" s="24">
        <v>35262</v>
      </c>
      <c r="O44" s="31">
        <f t="shared" si="2"/>
        <v>2.3700867789688616</v>
      </c>
    </row>
    <row r="45" spans="2:15" ht="15" customHeight="1">
      <c r="B45" s="16">
        <v>38</v>
      </c>
      <c r="C45" s="17" t="s">
        <v>60</v>
      </c>
      <c r="E45" s="23">
        <f t="shared" si="0"/>
        <v>126197</v>
      </c>
      <c r="F45" s="24">
        <v>9250</v>
      </c>
      <c r="G45" s="24">
        <v>19660</v>
      </c>
      <c r="H45" s="24">
        <v>73396</v>
      </c>
      <c r="I45" s="25">
        <v>23891</v>
      </c>
      <c r="K45" s="48">
        <f t="shared" si="1"/>
        <v>209558</v>
      </c>
      <c r="L45" s="24">
        <v>5255</v>
      </c>
      <c r="M45" s="24">
        <v>204303</v>
      </c>
      <c r="N45" s="24">
        <v>84406</v>
      </c>
      <c r="O45" s="31">
        <f t="shared" si="2"/>
        <v>2.4204795867592352</v>
      </c>
    </row>
    <row r="46" spans="2:15" ht="15" customHeight="1">
      <c r="B46" s="16">
        <v>39</v>
      </c>
      <c r="C46" s="17" t="s">
        <v>61</v>
      </c>
      <c r="E46" s="23">
        <f t="shared" si="0"/>
        <v>188855</v>
      </c>
      <c r="F46" s="24">
        <v>17889</v>
      </c>
      <c r="G46" s="24">
        <v>37420</v>
      </c>
      <c r="H46" s="24">
        <v>108194</v>
      </c>
      <c r="I46" s="25">
        <v>25352</v>
      </c>
      <c r="K46" s="48">
        <f t="shared" si="1"/>
        <v>355285</v>
      </c>
      <c r="L46" s="24">
        <v>8562</v>
      </c>
      <c r="M46" s="24">
        <v>346723</v>
      </c>
      <c r="N46" s="24">
        <v>149268</v>
      </c>
      <c r="O46" s="31">
        <f t="shared" si="2"/>
        <v>2.3228220382131468</v>
      </c>
    </row>
    <row r="47" spans="2:15" ht="15" customHeight="1">
      <c r="B47" s="16">
        <v>40</v>
      </c>
      <c r="C47" s="17" t="s">
        <v>62</v>
      </c>
      <c r="E47" s="23">
        <f t="shared" si="0"/>
        <v>11298</v>
      </c>
      <c r="F47" s="24">
        <v>130</v>
      </c>
      <c r="G47" s="24">
        <v>431</v>
      </c>
      <c r="H47" s="24">
        <v>10350</v>
      </c>
      <c r="I47" s="25">
        <v>387</v>
      </c>
      <c r="K47" s="48">
        <f t="shared" si="1"/>
        <v>8196</v>
      </c>
      <c r="L47" s="24">
        <v>5952</v>
      </c>
      <c r="M47" s="24">
        <v>2244</v>
      </c>
      <c r="N47" s="24">
        <v>1234</v>
      </c>
      <c r="O47" s="31">
        <f t="shared" si="2"/>
        <v>1.8184764991896272</v>
      </c>
    </row>
    <row r="48" spans="2:15" ht="15" customHeight="1">
      <c r="B48" s="16">
        <v>41</v>
      </c>
      <c r="C48" s="17" t="s">
        <v>63</v>
      </c>
      <c r="E48" s="23">
        <f t="shared" si="0"/>
        <v>1675</v>
      </c>
      <c r="F48" s="24">
        <v>29</v>
      </c>
      <c r="G48" s="24">
        <v>179</v>
      </c>
      <c r="H48" s="24">
        <v>1317</v>
      </c>
      <c r="I48" s="25">
        <v>150</v>
      </c>
      <c r="K48" s="48">
        <f t="shared" si="1"/>
        <v>10074</v>
      </c>
      <c r="L48" s="24">
        <v>40</v>
      </c>
      <c r="M48" s="24">
        <v>10034</v>
      </c>
      <c r="N48" s="24">
        <v>4494</v>
      </c>
      <c r="O48" s="31">
        <f t="shared" si="2"/>
        <v>2.2327547841566533</v>
      </c>
    </row>
    <row r="49" spans="2:15" ht="15" customHeight="1">
      <c r="B49" s="16">
        <v>42</v>
      </c>
      <c r="C49" s="17" t="s">
        <v>64</v>
      </c>
      <c r="E49" s="23">
        <f t="shared" si="0"/>
        <v>12871</v>
      </c>
      <c r="F49" s="24">
        <v>326</v>
      </c>
      <c r="G49" s="24">
        <v>1773</v>
      </c>
      <c r="H49" s="24">
        <v>10460</v>
      </c>
      <c r="I49" s="25">
        <v>312</v>
      </c>
      <c r="K49" s="48">
        <f t="shared" si="1"/>
        <v>20901</v>
      </c>
      <c r="L49" s="24">
        <v>651</v>
      </c>
      <c r="M49" s="24">
        <v>20250</v>
      </c>
      <c r="N49" s="24">
        <v>9143</v>
      </c>
      <c r="O49" s="31">
        <f t="shared" si="2"/>
        <v>2.2148091436071313</v>
      </c>
    </row>
    <row r="50" spans="2:15" ht="15" customHeight="1">
      <c r="B50" s="16">
        <v>43</v>
      </c>
      <c r="C50" s="17" t="s">
        <v>65</v>
      </c>
      <c r="E50" s="23">
        <f t="shared" si="0"/>
        <v>32265</v>
      </c>
      <c r="F50" s="24">
        <v>935</v>
      </c>
      <c r="G50" s="24">
        <v>5262</v>
      </c>
      <c r="H50" s="24">
        <v>22523</v>
      </c>
      <c r="I50" s="25">
        <v>3545</v>
      </c>
      <c r="K50" s="48">
        <f t="shared" si="1"/>
        <v>86572</v>
      </c>
      <c r="L50" s="24">
        <v>624</v>
      </c>
      <c r="M50" s="24">
        <v>85948</v>
      </c>
      <c r="N50" s="24">
        <v>37916</v>
      </c>
      <c r="O50" s="31">
        <f t="shared" si="2"/>
        <v>2.266800295389809</v>
      </c>
    </row>
    <row r="51" spans="2:15" ht="15" customHeight="1" thickBot="1">
      <c r="B51" s="16">
        <v>44</v>
      </c>
      <c r="C51" s="17" t="s">
        <v>66</v>
      </c>
      <c r="E51" s="23">
        <f t="shared" si="0"/>
        <v>76401</v>
      </c>
      <c r="F51" s="24">
        <v>2182</v>
      </c>
      <c r="G51" s="24">
        <v>13226</v>
      </c>
      <c r="H51" s="24">
        <v>55512</v>
      </c>
      <c r="I51" s="25">
        <v>5481</v>
      </c>
      <c r="K51" s="48">
        <f t="shared" si="1"/>
        <v>132724</v>
      </c>
      <c r="L51" s="24">
        <v>1393</v>
      </c>
      <c r="M51" s="24">
        <v>131331</v>
      </c>
      <c r="N51" s="24">
        <v>56900</v>
      </c>
      <c r="O51" s="31">
        <f t="shared" si="2"/>
        <v>2.3081019332161685</v>
      </c>
    </row>
    <row r="52" spans="2:15" ht="15" customHeight="1" thickBot="1">
      <c r="B52" s="18"/>
      <c r="C52" s="19" t="s">
        <v>3</v>
      </c>
      <c r="E52" s="26">
        <f>SUM(E8:E51)</f>
        <v>1627656</v>
      </c>
      <c r="F52" s="27">
        <f t="shared" ref="F52:I52" si="3">SUM(F8:F51)</f>
        <v>96787</v>
      </c>
      <c r="G52" s="27">
        <f t="shared" si="3"/>
        <v>265960</v>
      </c>
      <c r="H52" s="27">
        <f t="shared" si="3"/>
        <v>1080302</v>
      </c>
      <c r="I52" s="28">
        <f t="shared" si="3"/>
        <v>184607</v>
      </c>
      <c r="J52" s="29"/>
      <c r="K52" s="26">
        <f t="shared" si="1"/>
        <v>2553202</v>
      </c>
      <c r="L52" s="27">
        <f t="shared" ref="L52:N52" si="4">SUM(L8:L51)</f>
        <v>75817</v>
      </c>
      <c r="M52" s="27">
        <f t="shared" si="4"/>
        <v>2477385</v>
      </c>
      <c r="N52" s="27">
        <f t="shared" si="4"/>
        <v>1071272</v>
      </c>
      <c r="O52" s="32">
        <f t="shared" si="2"/>
        <v>2.3125639426774898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3:O52"/>
  <sheetViews>
    <sheetView zoomScale="75" zoomScaleNormal="75" workbookViewId="0"/>
  </sheetViews>
  <sheetFormatPr defaultRowHeight="12.75"/>
  <cols>
    <col min="1" max="1" width="9.140625" style="7"/>
    <col min="2" max="2" width="9.28515625" style="7" bestFit="1" customWidth="1"/>
    <col min="3" max="3" width="55.7109375" style="7" customWidth="1"/>
    <col min="4" max="4" width="2.7109375" style="7" customWidth="1"/>
    <col min="5" max="9" width="14.7109375" style="7" customWidth="1"/>
    <col min="10" max="10" width="2.7109375" style="7" customWidth="1"/>
    <col min="11" max="15" width="14.7109375" style="7" customWidth="1"/>
    <col min="16" max="16384" width="9.140625" style="7"/>
  </cols>
  <sheetData>
    <row r="3" spans="2:15" ht="20.25">
      <c r="B3" s="8" t="s">
        <v>18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2:15" ht="18">
      <c r="B4" s="9" t="s">
        <v>19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2:15" ht="13.5" thickBot="1"/>
    <row r="6" spans="2:15" ht="20.100000000000001" customHeight="1" thickBot="1">
      <c r="B6" s="14"/>
      <c r="C6" s="15"/>
      <c r="E6" s="11" t="s">
        <v>2</v>
      </c>
      <c r="F6" s="12"/>
      <c r="G6" s="12"/>
      <c r="H6" s="12"/>
      <c r="I6" s="13"/>
      <c r="K6" s="11" t="s">
        <v>12</v>
      </c>
      <c r="L6" s="12"/>
      <c r="M6" s="12"/>
      <c r="N6" s="12"/>
      <c r="O6" s="13"/>
    </row>
    <row r="7" spans="2:15" ht="15" customHeight="1" thickBot="1">
      <c r="B7" s="46" t="s">
        <v>0</v>
      </c>
      <c r="C7" s="47" t="s">
        <v>1</v>
      </c>
      <c r="E7" s="3" t="s">
        <v>3</v>
      </c>
      <c r="F7" s="1" t="s">
        <v>4</v>
      </c>
      <c r="G7" s="1" t="s">
        <v>5</v>
      </c>
      <c r="H7" s="1" t="s">
        <v>6</v>
      </c>
      <c r="I7" s="2" t="s">
        <v>7</v>
      </c>
      <c r="K7" s="4" t="s">
        <v>13</v>
      </c>
      <c r="L7" s="5" t="s">
        <v>9</v>
      </c>
      <c r="M7" s="5" t="s">
        <v>8</v>
      </c>
      <c r="N7" s="5" t="s">
        <v>10</v>
      </c>
      <c r="O7" s="6" t="s">
        <v>11</v>
      </c>
    </row>
    <row r="8" spans="2:15" ht="15" customHeight="1">
      <c r="B8" s="16">
        <v>1</v>
      </c>
      <c r="C8" s="17" t="s">
        <v>23</v>
      </c>
      <c r="E8" s="20">
        <f>SUM(F8:I8)</f>
        <v>14680</v>
      </c>
      <c r="F8" s="21">
        <v>179</v>
      </c>
      <c r="G8" s="21">
        <v>595</v>
      </c>
      <c r="H8" s="21">
        <v>12857</v>
      </c>
      <c r="I8" s="22">
        <v>1049</v>
      </c>
      <c r="K8" s="48">
        <f>L8+M8</f>
        <v>11674</v>
      </c>
      <c r="L8" s="24">
        <v>2233</v>
      </c>
      <c r="M8" s="24">
        <v>9441</v>
      </c>
      <c r="N8" s="24">
        <v>4563</v>
      </c>
      <c r="O8" s="30">
        <f>IF((N8=0),(0),(M8/N8))</f>
        <v>2.0690335305719922</v>
      </c>
    </row>
    <row r="9" spans="2:15" ht="15" customHeight="1">
      <c r="B9" s="16">
        <v>2</v>
      </c>
      <c r="C9" s="17" t="s">
        <v>24</v>
      </c>
      <c r="E9" s="23">
        <f t="shared" ref="E9:E51" si="0">SUM(F9:I9)</f>
        <v>16957</v>
      </c>
      <c r="F9" s="24">
        <v>474</v>
      </c>
      <c r="G9" s="24">
        <v>1024</v>
      </c>
      <c r="H9" s="24">
        <v>13370</v>
      </c>
      <c r="I9" s="25">
        <v>2089</v>
      </c>
      <c r="K9" s="48">
        <f t="shared" ref="K9:K52" si="1">L9+M9</f>
        <v>7032</v>
      </c>
      <c r="L9" s="24">
        <v>190</v>
      </c>
      <c r="M9" s="24">
        <v>6842</v>
      </c>
      <c r="N9" s="24">
        <v>4490</v>
      </c>
      <c r="O9" s="31">
        <f t="shared" ref="O9:O52" si="2">IF((N9=0),(0),(M9/N9))</f>
        <v>1.5238307349665925</v>
      </c>
    </row>
    <row r="10" spans="2:15" ht="15" customHeight="1">
      <c r="B10" s="16">
        <v>3</v>
      </c>
      <c r="C10" s="17" t="s">
        <v>25</v>
      </c>
      <c r="E10" s="23">
        <f t="shared" si="0"/>
        <v>7828</v>
      </c>
      <c r="F10" s="24">
        <v>403</v>
      </c>
      <c r="G10" s="24">
        <v>432</v>
      </c>
      <c r="H10" s="24">
        <v>6533</v>
      </c>
      <c r="I10" s="25">
        <v>460</v>
      </c>
      <c r="K10" s="48">
        <f t="shared" si="1"/>
        <v>24296</v>
      </c>
      <c r="L10" s="24">
        <v>418</v>
      </c>
      <c r="M10" s="24">
        <v>23878</v>
      </c>
      <c r="N10" s="24">
        <v>11226</v>
      </c>
      <c r="O10" s="31">
        <f t="shared" si="2"/>
        <v>2.12702654551933</v>
      </c>
    </row>
    <row r="11" spans="2:15" ht="15" customHeight="1">
      <c r="B11" s="16">
        <v>4</v>
      </c>
      <c r="C11" s="17" t="s">
        <v>26</v>
      </c>
      <c r="E11" s="23">
        <f t="shared" si="0"/>
        <v>22614</v>
      </c>
      <c r="F11" s="24">
        <v>1258</v>
      </c>
      <c r="G11" s="24">
        <v>3484</v>
      </c>
      <c r="H11" s="24">
        <v>15403</v>
      </c>
      <c r="I11" s="25">
        <v>2469</v>
      </c>
      <c r="K11" s="48">
        <f t="shared" si="1"/>
        <v>41003</v>
      </c>
      <c r="L11" s="24">
        <v>640</v>
      </c>
      <c r="M11" s="24">
        <v>40363</v>
      </c>
      <c r="N11" s="24">
        <v>18839</v>
      </c>
      <c r="O11" s="31">
        <f t="shared" si="2"/>
        <v>2.1425234885078828</v>
      </c>
    </row>
    <row r="12" spans="2:15" ht="15" customHeight="1">
      <c r="B12" s="16">
        <v>5</v>
      </c>
      <c r="C12" s="17" t="s">
        <v>27</v>
      </c>
      <c r="E12" s="23">
        <f t="shared" si="0"/>
        <v>172769</v>
      </c>
      <c r="F12" s="24">
        <v>6579</v>
      </c>
      <c r="G12" s="24">
        <v>32546</v>
      </c>
      <c r="H12" s="24">
        <v>117354</v>
      </c>
      <c r="I12" s="25">
        <v>16290</v>
      </c>
      <c r="K12" s="48">
        <f t="shared" si="1"/>
        <v>288310</v>
      </c>
      <c r="L12" s="24">
        <v>3016</v>
      </c>
      <c r="M12" s="24">
        <v>285294</v>
      </c>
      <c r="N12" s="24">
        <v>122209</v>
      </c>
      <c r="O12" s="31">
        <f t="shared" si="2"/>
        <v>2.3344761842417499</v>
      </c>
    </row>
    <row r="13" spans="2:15" ht="15" customHeight="1">
      <c r="B13" s="16">
        <v>6</v>
      </c>
      <c r="C13" s="17" t="s">
        <v>28</v>
      </c>
      <c r="E13" s="23">
        <f t="shared" si="0"/>
        <v>13974</v>
      </c>
      <c r="F13" s="24">
        <v>1444</v>
      </c>
      <c r="G13" s="24">
        <v>111</v>
      </c>
      <c r="H13" s="24">
        <v>12183</v>
      </c>
      <c r="I13" s="25">
        <v>236</v>
      </c>
      <c r="K13" s="48">
        <f t="shared" si="1"/>
        <v>16632</v>
      </c>
      <c r="L13" s="24">
        <v>241</v>
      </c>
      <c r="M13" s="24">
        <v>16391</v>
      </c>
      <c r="N13" s="24">
        <v>7229</v>
      </c>
      <c r="O13" s="31">
        <f t="shared" si="2"/>
        <v>2.2673952137225064</v>
      </c>
    </row>
    <row r="14" spans="2:15" ht="15" customHeight="1">
      <c r="B14" s="16">
        <v>7</v>
      </c>
      <c r="C14" s="17" t="s">
        <v>29</v>
      </c>
      <c r="E14" s="23">
        <f t="shared" si="0"/>
        <v>11840</v>
      </c>
      <c r="F14" s="24">
        <v>128</v>
      </c>
      <c r="G14" s="24">
        <v>1700</v>
      </c>
      <c r="H14" s="24">
        <v>9661</v>
      </c>
      <c r="I14" s="25">
        <v>351</v>
      </c>
      <c r="K14" s="48">
        <f t="shared" si="1"/>
        <v>38478</v>
      </c>
      <c r="L14" s="24">
        <v>832</v>
      </c>
      <c r="M14" s="24">
        <v>37646</v>
      </c>
      <c r="N14" s="24">
        <v>16296</v>
      </c>
      <c r="O14" s="31">
        <f t="shared" si="2"/>
        <v>2.3101374570446733</v>
      </c>
    </row>
    <row r="15" spans="2:15" ht="15" customHeight="1">
      <c r="B15" s="16">
        <v>8</v>
      </c>
      <c r="C15" s="17" t="s">
        <v>30</v>
      </c>
      <c r="E15" s="23">
        <f t="shared" si="0"/>
        <v>72433</v>
      </c>
      <c r="F15" s="24">
        <v>109</v>
      </c>
      <c r="G15" s="24">
        <v>3082</v>
      </c>
      <c r="H15" s="24">
        <v>67926</v>
      </c>
      <c r="I15" s="25">
        <v>1316</v>
      </c>
      <c r="K15" s="48">
        <f t="shared" si="1"/>
        <v>28405</v>
      </c>
      <c r="L15" s="24">
        <v>9834</v>
      </c>
      <c r="M15" s="24">
        <v>18571</v>
      </c>
      <c r="N15" s="24">
        <v>8430</v>
      </c>
      <c r="O15" s="31">
        <f t="shared" si="2"/>
        <v>2.2029655990510082</v>
      </c>
    </row>
    <row r="16" spans="2:15" ht="15" customHeight="1">
      <c r="B16" s="16">
        <v>9</v>
      </c>
      <c r="C16" s="17" t="s">
        <v>31</v>
      </c>
      <c r="E16" s="23">
        <f t="shared" si="0"/>
        <v>15610</v>
      </c>
      <c r="F16" s="24">
        <v>307</v>
      </c>
      <c r="G16" s="24">
        <v>4225</v>
      </c>
      <c r="H16" s="24">
        <v>9880</v>
      </c>
      <c r="I16" s="25">
        <v>1198</v>
      </c>
      <c r="K16" s="48">
        <f t="shared" si="1"/>
        <v>13121</v>
      </c>
      <c r="L16" s="24">
        <v>144</v>
      </c>
      <c r="M16" s="24">
        <v>12977</v>
      </c>
      <c r="N16" s="24">
        <v>6129</v>
      </c>
      <c r="O16" s="31">
        <f t="shared" si="2"/>
        <v>2.117311143742862</v>
      </c>
    </row>
    <row r="17" spans="2:15" ht="15" customHeight="1">
      <c r="B17" s="16">
        <v>10</v>
      </c>
      <c r="C17" s="17" t="s">
        <v>32</v>
      </c>
      <c r="E17" s="23">
        <f t="shared" si="0"/>
        <v>7966</v>
      </c>
      <c r="F17" s="24">
        <v>58</v>
      </c>
      <c r="G17" s="24">
        <v>1927</v>
      </c>
      <c r="H17" s="24">
        <v>5682</v>
      </c>
      <c r="I17" s="25">
        <v>299</v>
      </c>
      <c r="K17" s="48">
        <f t="shared" si="1"/>
        <v>16417</v>
      </c>
      <c r="L17" s="24">
        <v>671</v>
      </c>
      <c r="M17" s="24">
        <v>15746</v>
      </c>
      <c r="N17" s="24">
        <v>8539</v>
      </c>
      <c r="O17" s="31">
        <f t="shared" si="2"/>
        <v>1.8440098372174727</v>
      </c>
    </row>
    <row r="18" spans="2:15" ht="15" customHeight="1">
      <c r="B18" s="16">
        <v>11</v>
      </c>
      <c r="C18" s="17" t="s">
        <v>33</v>
      </c>
      <c r="E18" s="23">
        <f t="shared" si="0"/>
        <v>7841</v>
      </c>
      <c r="F18" s="24">
        <v>154</v>
      </c>
      <c r="G18" s="24">
        <v>3974</v>
      </c>
      <c r="H18" s="24">
        <v>3246</v>
      </c>
      <c r="I18" s="25">
        <v>467</v>
      </c>
      <c r="K18" s="48">
        <f t="shared" si="1"/>
        <v>7177</v>
      </c>
      <c r="L18" s="24">
        <v>32</v>
      </c>
      <c r="M18" s="24">
        <v>7145</v>
      </c>
      <c r="N18" s="24">
        <v>3311</v>
      </c>
      <c r="O18" s="31">
        <f t="shared" si="2"/>
        <v>2.1579583207490183</v>
      </c>
    </row>
    <row r="19" spans="2:15" ht="15" customHeight="1">
      <c r="B19" s="16">
        <v>12</v>
      </c>
      <c r="C19" s="17" t="s">
        <v>34</v>
      </c>
      <c r="E19" s="23">
        <f t="shared" si="0"/>
        <v>150418</v>
      </c>
      <c r="F19" s="24">
        <v>463</v>
      </c>
      <c r="G19" s="24">
        <v>7382</v>
      </c>
      <c r="H19" s="24">
        <v>139744</v>
      </c>
      <c r="I19" s="25">
        <v>2829</v>
      </c>
      <c r="K19" s="48">
        <f t="shared" si="1"/>
        <v>7121</v>
      </c>
      <c r="L19" s="24">
        <v>1182</v>
      </c>
      <c r="M19" s="24">
        <v>5939</v>
      </c>
      <c r="N19" s="24">
        <v>3849</v>
      </c>
      <c r="O19" s="31">
        <f t="shared" si="2"/>
        <v>1.542998181345804</v>
      </c>
    </row>
    <row r="20" spans="2:15" ht="15" customHeight="1">
      <c r="B20" s="16">
        <v>13</v>
      </c>
      <c r="C20" s="17" t="s">
        <v>35</v>
      </c>
      <c r="E20" s="23">
        <f t="shared" si="0"/>
        <v>11190</v>
      </c>
      <c r="F20" s="24">
        <v>260</v>
      </c>
      <c r="G20" s="24">
        <v>1366</v>
      </c>
      <c r="H20" s="24">
        <v>9317</v>
      </c>
      <c r="I20" s="25">
        <v>247</v>
      </c>
      <c r="K20" s="48">
        <f t="shared" si="1"/>
        <v>7552</v>
      </c>
      <c r="L20" s="24">
        <v>468</v>
      </c>
      <c r="M20" s="24">
        <v>7084</v>
      </c>
      <c r="N20" s="24">
        <v>3984</v>
      </c>
      <c r="O20" s="31">
        <f t="shared" si="2"/>
        <v>1.7781124497991967</v>
      </c>
    </row>
    <row r="21" spans="2:15" ht="15" customHeight="1">
      <c r="B21" s="16">
        <v>14</v>
      </c>
      <c r="C21" s="17" t="s">
        <v>36</v>
      </c>
      <c r="E21" s="23">
        <f t="shared" si="0"/>
        <v>7786</v>
      </c>
      <c r="F21" s="24">
        <v>125</v>
      </c>
      <c r="G21" s="24">
        <v>1520</v>
      </c>
      <c r="H21" s="24">
        <v>5269</v>
      </c>
      <c r="I21" s="25">
        <v>872</v>
      </c>
      <c r="K21" s="48">
        <f t="shared" si="1"/>
        <v>2110</v>
      </c>
      <c r="L21" s="24">
        <v>13</v>
      </c>
      <c r="M21" s="24">
        <v>2097</v>
      </c>
      <c r="N21" s="24">
        <v>1995</v>
      </c>
      <c r="O21" s="31">
        <f t="shared" si="2"/>
        <v>1.0511278195488722</v>
      </c>
    </row>
    <row r="22" spans="2:15" ht="15" customHeight="1">
      <c r="B22" s="16">
        <v>15</v>
      </c>
      <c r="C22" s="17" t="s">
        <v>37</v>
      </c>
      <c r="E22" s="23">
        <f t="shared" si="0"/>
        <v>24941</v>
      </c>
      <c r="F22" s="24">
        <v>717</v>
      </c>
      <c r="G22" s="24">
        <v>3159</v>
      </c>
      <c r="H22" s="24">
        <v>18609</v>
      </c>
      <c r="I22" s="25">
        <v>2456</v>
      </c>
      <c r="K22" s="48">
        <f t="shared" si="1"/>
        <v>40190</v>
      </c>
      <c r="L22" s="24">
        <v>446</v>
      </c>
      <c r="M22" s="24">
        <v>39744</v>
      </c>
      <c r="N22" s="24">
        <v>20412</v>
      </c>
      <c r="O22" s="31">
        <f t="shared" si="2"/>
        <v>1.947089947089947</v>
      </c>
    </row>
    <row r="23" spans="2:15" ht="15" customHeight="1">
      <c r="B23" s="16">
        <v>16</v>
      </c>
      <c r="C23" s="17" t="s">
        <v>38</v>
      </c>
      <c r="E23" s="23">
        <f t="shared" si="0"/>
        <v>1278</v>
      </c>
      <c r="F23" s="24">
        <v>37</v>
      </c>
      <c r="G23" s="24">
        <v>127</v>
      </c>
      <c r="H23" s="24">
        <v>865</v>
      </c>
      <c r="I23" s="25">
        <v>249</v>
      </c>
      <c r="K23" s="48">
        <f t="shared" si="1"/>
        <v>5556</v>
      </c>
      <c r="L23" s="24">
        <v>0</v>
      </c>
      <c r="M23" s="24">
        <v>5556</v>
      </c>
      <c r="N23" s="24">
        <v>2279</v>
      </c>
      <c r="O23" s="31">
        <f t="shared" si="2"/>
        <v>2.437911364633611</v>
      </c>
    </row>
    <row r="24" spans="2:15" ht="15" customHeight="1">
      <c r="B24" s="16">
        <v>17</v>
      </c>
      <c r="C24" s="17" t="s">
        <v>39</v>
      </c>
      <c r="E24" s="23">
        <f t="shared" si="0"/>
        <v>22698</v>
      </c>
      <c r="F24" s="24">
        <v>1388</v>
      </c>
      <c r="G24" s="24">
        <v>3742</v>
      </c>
      <c r="H24" s="24">
        <v>15053</v>
      </c>
      <c r="I24" s="25">
        <v>2515</v>
      </c>
      <c r="K24" s="48">
        <f t="shared" si="1"/>
        <v>52233</v>
      </c>
      <c r="L24" s="24">
        <v>393</v>
      </c>
      <c r="M24" s="24">
        <v>51840</v>
      </c>
      <c r="N24" s="24">
        <v>24614</v>
      </c>
      <c r="O24" s="31">
        <f t="shared" si="2"/>
        <v>2.1061184691638903</v>
      </c>
    </row>
    <row r="25" spans="2:15" ht="15" customHeight="1">
      <c r="B25" s="16">
        <v>18</v>
      </c>
      <c r="C25" s="17" t="s">
        <v>40</v>
      </c>
      <c r="E25" s="23">
        <f t="shared" si="0"/>
        <v>10592</v>
      </c>
      <c r="F25" s="24">
        <v>902</v>
      </c>
      <c r="G25" s="24">
        <v>1586</v>
      </c>
      <c r="H25" s="24">
        <v>6722</v>
      </c>
      <c r="I25" s="25">
        <v>1382</v>
      </c>
      <c r="K25" s="48">
        <f t="shared" si="1"/>
        <v>31855</v>
      </c>
      <c r="L25" s="24">
        <v>138</v>
      </c>
      <c r="M25" s="24">
        <v>31717</v>
      </c>
      <c r="N25" s="24">
        <v>13387</v>
      </c>
      <c r="O25" s="31">
        <f t="shared" si="2"/>
        <v>2.3692388137745573</v>
      </c>
    </row>
    <row r="26" spans="2:15" ht="15" customHeight="1">
      <c r="B26" s="16">
        <v>19</v>
      </c>
      <c r="C26" s="17" t="s">
        <v>41</v>
      </c>
      <c r="E26" s="23">
        <f t="shared" si="0"/>
        <v>38838</v>
      </c>
      <c r="F26" s="24">
        <v>510</v>
      </c>
      <c r="G26" s="24">
        <v>10037</v>
      </c>
      <c r="H26" s="24">
        <v>25332</v>
      </c>
      <c r="I26" s="25">
        <v>2959</v>
      </c>
      <c r="K26" s="48">
        <f t="shared" si="1"/>
        <v>39368</v>
      </c>
      <c r="L26" s="24">
        <v>689</v>
      </c>
      <c r="M26" s="24">
        <v>38679</v>
      </c>
      <c r="N26" s="24">
        <v>18131</v>
      </c>
      <c r="O26" s="31">
        <f t="shared" si="2"/>
        <v>2.1333075947272628</v>
      </c>
    </row>
    <row r="27" spans="2:15" ht="15" customHeight="1">
      <c r="B27" s="16">
        <v>20</v>
      </c>
      <c r="C27" s="17" t="s">
        <v>42</v>
      </c>
      <c r="E27" s="23">
        <f t="shared" si="0"/>
        <v>23240</v>
      </c>
      <c r="F27" s="24">
        <v>904</v>
      </c>
      <c r="G27" s="24">
        <v>3798</v>
      </c>
      <c r="H27" s="24">
        <v>15862</v>
      </c>
      <c r="I27" s="25">
        <v>2676</v>
      </c>
      <c r="K27" s="48">
        <f t="shared" si="1"/>
        <v>55714</v>
      </c>
      <c r="L27" s="24">
        <v>515</v>
      </c>
      <c r="M27" s="24">
        <v>55199</v>
      </c>
      <c r="N27" s="24">
        <v>28153</v>
      </c>
      <c r="O27" s="31">
        <f t="shared" si="2"/>
        <v>1.9606791460945547</v>
      </c>
    </row>
    <row r="28" spans="2:15" ht="15" customHeight="1">
      <c r="B28" s="16">
        <v>21</v>
      </c>
      <c r="C28" s="17" t="s">
        <v>43</v>
      </c>
      <c r="E28" s="23">
        <f t="shared" si="0"/>
        <v>9449</v>
      </c>
      <c r="F28" s="24">
        <v>1685</v>
      </c>
      <c r="G28" s="24">
        <v>1949</v>
      </c>
      <c r="H28" s="24">
        <v>4417</v>
      </c>
      <c r="I28" s="25">
        <v>1398</v>
      </c>
      <c r="K28" s="48">
        <f t="shared" si="1"/>
        <v>18585</v>
      </c>
      <c r="L28" s="24">
        <v>81</v>
      </c>
      <c r="M28" s="24">
        <v>18504</v>
      </c>
      <c r="N28" s="24">
        <v>8190</v>
      </c>
      <c r="O28" s="31">
        <f t="shared" si="2"/>
        <v>2.2593406593406593</v>
      </c>
    </row>
    <row r="29" spans="2:15" ht="15" customHeight="1">
      <c r="B29" s="16">
        <v>22</v>
      </c>
      <c r="C29" s="17" t="s">
        <v>44</v>
      </c>
      <c r="E29" s="23">
        <f t="shared" si="0"/>
        <v>12793</v>
      </c>
      <c r="F29" s="24">
        <v>381</v>
      </c>
      <c r="G29" s="24">
        <v>2009</v>
      </c>
      <c r="H29" s="24">
        <v>9494</v>
      </c>
      <c r="I29" s="25">
        <v>909</v>
      </c>
      <c r="K29" s="48">
        <f t="shared" si="1"/>
        <v>28433</v>
      </c>
      <c r="L29" s="24">
        <v>1023</v>
      </c>
      <c r="M29" s="24">
        <v>27410</v>
      </c>
      <c r="N29" s="24">
        <v>13814</v>
      </c>
      <c r="O29" s="31">
        <f t="shared" si="2"/>
        <v>1.984218908353844</v>
      </c>
    </row>
    <row r="30" spans="2:15" ht="15" customHeight="1">
      <c r="B30" s="16">
        <v>23</v>
      </c>
      <c r="C30" s="17" t="s">
        <v>45</v>
      </c>
      <c r="E30" s="23">
        <f t="shared" si="0"/>
        <v>2707</v>
      </c>
      <c r="F30" s="24">
        <v>229</v>
      </c>
      <c r="G30" s="24">
        <v>319</v>
      </c>
      <c r="H30" s="24">
        <v>1535</v>
      </c>
      <c r="I30" s="25">
        <v>624</v>
      </c>
      <c r="K30" s="48">
        <f t="shared" si="1"/>
        <v>12949</v>
      </c>
      <c r="L30" s="24">
        <v>81</v>
      </c>
      <c r="M30" s="24">
        <v>12868</v>
      </c>
      <c r="N30" s="24">
        <v>6110</v>
      </c>
      <c r="O30" s="31">
        <f t="shared" si="2"/>
        <v>2.1060556464811784</v>
      </c>
    </row>
    <row r="31" spans="2:15" ht="15" customHeight="1">
      <c r="B31" s="16">
        <v>24</v>
      </c>
      <c r="C31" s="17" t="s">
        <v>46</v>
      </c>
      <c r="E31" s="23">
        <f t="shared" si="0"/>
        <v>5573</v>
      </c>
      <c r="F31" s="24">
        <v>173</v>
      </c>
      <c r="G31" s="24">
        <v>802</v>
      </c>
      <c r="H31" s="24">
        <v>3787</v>
      </c>
      <c r="I31" s="25">
        <v>811</v>
      </c>
      <c r="K31" s="48">
        <f t="shared" si="1"/>
        <v>19243</v>
      </c>
      <c r="L31" s="24">
        <v>22</v>
      </c>
      <c r="M31" s="24">
        <v>19221</v>
      </c>
      <c r="N31" s="24">
        <v>8516</v>
      </c>
      <c r="O31" s="31">
        <f t="shared" si="2"/>
        <v>2.2570455612963833</v>
      </c>
    </row>
    <row r="32" spans="2:15" ht="15" customHeight="1">
      <c r="B32" s="16">
        <v>25</v>
      </c>
      <c r="C32" s="17" t="s">
        <v>47</v>
      </c>
      <c r="E32" s="23">
        <f t="shared" si="0"/>
        <v>8140</v>
      </c>
      <c r="F32" s="24">
        <v>246</v>
      </c>
      <c r="G32" s="24">
        <v>1386</v>
      </c>
      <c r="H32" s="24">
        <v>5462</v>
      </c>
      <c r="I32" s="25">
        <v>1046</v>
      </c>
      <c r="K32" s="48">
        <f t="shared" si="1"/>
        <v>31588</v>
      </c>
      <c r="L32" s="24">
        <v>218</v>
      </c>
      <c r="M32" s="24">
        <v>31370</v>
      </c>
      <c r="N32" s="24">
        <v>13756</v>
      </c>
      <c r="O32" s="31">
        <f t="shared" si="2"/>
        <v>2.2804594358825239</v>
      </c>
    </row>
    <row r="33" spans="2:15" ht="15" customHeight="1">
      <c r="B33" s="16">
        <v>26</v>
      </c>
      <c r="C33" s="17" t="s">
        <v>48</v>
      </c>
      <c r="E33" s="23">
        <f t="shared" si="0"/>
        <v>29608</v>
      </c>
      <c r="F33" s="24">
        <v>827</v>
      </c>
      <c r="G33" s="24">
        <v>9089</v>
      </c>
      <c r="H33" s="24">
        <v>17126</v>
      </c>
      <c r="I33" s="25">
        <v>2566</v>
      </c>
      <c r="K33" s="48">
        <f t="shared" si="1"/>
        <v>64799</v>
      </c>
      <c r="L33" s="24">
        <v>509</v>
      </c>
      <c r="M33" s="24">
        <v>64290</v>
      </c>
      <c r="N33" s="24">
        <v>27434</v>
      </c>
      <c r="O33" s="31">
        <f t="shared" si="2"/>
        <v>2.343442443683021</v>
      </c>
    </row>
    <row r="34" spans="2:15" ht="15" customHeight="1">
      <c r="B34" s="16">
        <v>27</v>
      </c>
      <c r="C34" s="17" t="s">
        <v>49</v>
      </c>
      <c r="E34" s="23">
        <f t="shared" si="0"/>
        <v>18162</v>
      </c>
      <c r="F34" s="24">
        <v>273</v>
      </c>
      <c r="G34" s="24">
        <v>1225</v>
      </c>
      <c r="H34" s="24">
        <v>15526</v>
      </c>
      <c r="I34" s="25">
        <v>1138</v>
      </c>
      <c r="K34" s="48">
        <f t="shared" si="1"/>
        <v>36972</v>
      </c>
      <c r="L34" s="24">
        <v>288</v>
      </c>
      <c r="M34" s="24">
        <v>36684</v>
      </c>
      <c r="N34" s="24">
        <v>15590</v>
      </c>
      <c r="O34" s="31">
        <f t="shared" si="2"/>
        <v>2.3530468248877487</v>
      </c>
    </row>
    <row r="35" spans="2:15" ht="15" customHeight="1">
      <c r="B35" s="16">
        <v>28</v>
      </c>
      <c r="C35" s="17" t="s">
        <v>50</v>
      </c>
      <c r="E35" s="23">
        <f t="shared" si="0"/>
        <v>143947</v>
      </c>
      <c r="F35" s="24">
        <v>6451</v>
      </c>
      <c r="G35" s="24">
        <v>24727</v>
      </c>
      <c r="H35" s="24">
        <v>93461</v>
      </c>
      <c r="I35" s="25">
        <v>19308</v>
      </c>
      <c r="K35" s="48">
        <f t="shared" si="1"/>
        <v>166741</v>
      </c>
      <c r="L35" s="24">
        <v>2375</v>
      </c>
      <c r="M35" s="24">
        <v>164366</v>
      </c>
      <c r="N35" s="24">
        <v>71225</v>
      </c>
      <c r="O35" s="31">
        <f t="shared" si="2"/>
        <v>2.3077009477009476</v>
      </c>
    </row>
    <row r="36" spans="2:15" ht="15" customHeight="1">
      <c r="B36" s="16">
        <v>29</v>
      </c>
      <c r="C36" s="17" t="s">
        <v>51</v>
      </c>
      <c r="E36" s="23">
        <f t="shared" si="0"/>
        <v>16752</v>
      </c>
      <c r="F36" s="24">
        <v>1049</v>
      </c>
      <c r="G36" s="24">
        <v>2291</v>
      </c>
      <c r="H36" s="24">
        <v>10687</v>
      </c>
      <c r="I36" s="25">
        <v>2725</v>
      </c>
      <c r="K36" s="48">
        <f t="shared" si="1"/>
        <v>44913</v>
      </c>
      <c r="L36" s="24">
        <v>490</v>
      </c>
      <c r="M36" s="24">
        <v>44423</v>
      </c>
      <c r="N36" s="24">
        <v>19570</v>
      </c>
      <c r="O36" s="31">
        <f t="shared" si="2"/>
        <v>2.2699540112416963</v>
      </c>
    </row>
    <row r="37" spans="2:15" ht="15" customHeight="1">
      <c r="B37" s="16">
        <v>30</v>
      </c>
      <c r="C37" s="17" t="s">
        <v>52</v>
      </c>
      <c r="E37" s="23">
        <f t="shared" si="0"/>
        <v>8531</v>
      </c>
      <c r="F37" s="24">
        <v>488</v>
      </c>
      <c r="G37" s="24">
        <v>1702</v>
      </c>
      <c r="H37" s="24">
        <v>4528</v>
      </c>
      <c r="I37" s="25">
        <v>1813</v>
      </c>
      <c r="K37" s="48">
        <f t="shared" si="1"/>
        <v>19243</v>
      </c>
      <c r="L37" s="24">
        <v>267</v>
      </c>
      <c r="M37" s="24">
        <v>18976</v>
      </c>
      <c r="N37" s="24">
        <v>8081</v>
      </c>
      <c r="O37" s="31">
        <f t="shared" si="2"/>
        <v>2.3482242296745452</v>
      </c>
    </row>
    <row r="38" spans="2:15" ht="15" customHeight="1">
      <c r="B38" s="16">
        <v>31</v>
      </c>
      <c r="C38" s="17" t="s">
        <v>53</v>
      </c>
      <c r="E38" s="23">
        <f t="shared" si="0"/>
        <v>22631</v>
      </c>
      <c r="F38" s="24">
        <v>2852</v>
      </c>
      <c r="G38" s="24">
        <v>5003</v>
      </c>
      <c r="H38" s="24">
        <v>12840</v>
      </c>
      <c r="I38" s="25">
        <v>1936</v>
      </c>
      <c r="K38" s="48">
        <f t="shared" si="1"/>
        <v>54362</v>
      </c>
      <c r="L38" s="24">
        <v>781</v>
      </c>
      <c r="M38" s="24">
        <v>53581</v>
      </c>
      <c r="N38" s="24">
        <v>22438</v>
      </c>
      <c r="O38" s="31">
        <f t="shared" si="2"/>
        <v>2.3879579285141279</v>
      </c>
    </row>
    <row r="39" spans="2:15" ht="15" customHeight="1">
      <c r="B39" s="16">
        <v>32</v>
      </c>
      <c r="C39" s="17" t="s">
        <v>54</v>
      </c>
      <c r="E39" s="23">
        <f t="shared" si="0"/>
        <v>51459</v>
      </c>
      <c r="F39" s="24">
        <v>1978</v>
      </c>
      <c r="G39" s="24">
        <v>8144</v>
      </c>
      <c r="H39" s="24">
        <v>36324</v>
      </c>
      <c r="I39" s="25">
        <v>5013</v>
      </c>
      <c r="K39" s="48">
        <f t="shared" si="1"/>
        <v>126021</v>
      </c>
      <c r="L39" s="24">
        <v>2170</v>
      </c>
      <c r="M39" s="24">
        <v>123851</v>
      </c>
      <c r="N39" s="24">
        <v>54015</v>
      </c>
      <c r="O39" s="31">
        <f t="shared" si="2"/>
        <v>2.2929001203369435</v>
      </c>
    </row>
    <row r="40" spans="2:15" ht="15" customHeight="1">
      <c r="B40" s="16">
        <v>33</v>
      </c>
      <c r="C40" s="17" t="s">
        <v>55</v>
      </c>
      <c r="E40" s="23">
        <f t="shared" si="0"/>
        <v>126094</v>
      </c>
      <c r="F40" s="24">
        <v>9219</v>
      </c>
      <c r="G40" s="24">
        <v>22436</v>
      </c>
      <c r="H40" s="24">
        <v>78674</v>
      </c>
      <c r="I40" s="25">
        <v>15765</v>
      </c>
      <c r="K40" s="48">
        <f t="shared" si="1"/>
        <v>222117</v>
      </c>
      <c r="L40" s="24">
        <v>5584</v>
      </c>
      <c r="M40" s="24">
        <v>216533</v>
      </c>
      <c r="N40" s="24">
        <v>93322</v>
      </c>
      <c r="O40" s="31">
        <f t="shared" si="2"/>
        <v>2.3202781766357345</v>
      </c>
    </row>
    <row r="41" spans="2:15" ht="15" customHeight="1">
      <c r="B41" s="16">
        <v>34</v>
      </c>
      <c r="C41" s="17" t="s">
        <v>56</v>
      </c>
      <c r="E41" s="23">
        <f t="shared" si="0"/>
        <v>57247</v>
      </c>
      <c r="F41" s="24">
        <v>2973</v>
      </c>
      <c r="G41" s="24">
        <v>10177</v>
      </c>
      <c r="H41" s="24">
        <v>37415</v>
      </c>
      <c r="I41" s="25">
        <v>6682</v>
      </c>
      <c r="K41" s="48">
        <f t="shared" si="1"/>
        <v>128468</v>
      </c>
      <c r="L41" s="24">
        <v>4697</v>
      </c>
      <c r="M41" s="24">
        <v>123771</v>
      </c>
      <c r="N41" s="24">
        <v>52019</v>
      </c>
      <c r="O41" s="31">
        <f t="shared" si="2"/>
        <v>2.3793421634402816</v>
      </c>
    </row>
    <row r="42" spans="2:15" ht="15" customHeight="1">
      <c r="B42" s="16">
        <v>35</v>
      </c>
      <c r="C42" s="17" t="s">
        <v>57</v>
      </c>
      <c r="E42" s="23">
        <f t="shared" si="0"/>
        <v>18936</v>
      </c>
      <c r="F42" s="24">
        <v>290</v>
      </c>
      <c r="G42" s="24">
        <v>2491</v>
      </c>
      <c r="H42" s="24">
        <v>9405</v>
      </c>
      <c r="I42" s="25">
        <v>6750</v>
      </c>
      <c r="K42" s="48">
        <f t="shared" si="1"/>
        <v>38341</v>
      </c>
      <c r="L42" s="24">
        <v>4375</v>
      </c>
      <c r="M42" s="24">
        <v>33966</v>
      </c>
      <c r="N42" s="24">
        <v>15318</v>
      </c>
      <c r="O42" s="31">
        <f t="shared" si="2"/>
        <v>2.2173913043478262</v>
      </c>
    </row>
    <row r="43" spans="2:15" ht="15" customHeight="1">
      <c r="B43" s="16">
        <v>36</v>
      </c>
      <c r="C43" s="17" t="s">
        <v>58</v>
      </c>
      <c r="E43" s="23">
        <f t="shared" si="0"/>
        <v>49239</v>
      </c>
      <c r="F43" s="24">
        <v>1801</v>
      </c>
      <c r="G43" s="24">
        <v>8125</v>
      </c>
      <c r="H43" s="24">
        <v>28598</v>
      </c>
      <c r="I43" s="25">
        <v>10715</v>
      </c>
      <c r="K43" s="48">
        <f t="shared" si="1"/>
        <v>95804</v>
      </c>
      <c r="L43" s="24">
        <v>5923</v>
      </c>
      <c r="M43" s="24">
        <v>89881</v>
      </c>
      <c r="N43" s="24">
        <v>38684</v>
      </c>
      <c r="O43" s="31">
        <f t="shared" si="2"/>
        <v>2.3234670664874368</v>
      </c>
    </row>
    <row r="44" spans="2:15" ht="15" customHeight="1">
      <c r="B44" s="16">
        <v>37</v>
      </c>
      <c r="C44" s="17" t="s">
        <v>59</v>
      </c>
      <c r="E44" s="23">
        <f t="shared" si="0"/>
        <v>43061</v>
      </c>
      <c r="F44" s="24">
        <v>3088</v>
      </c>
      <c r="G44" s="24">
        <v>6669</v>
      </c>
      <c r="H44" s="24">
        <v>28582</v>
      </c>
      <c r="I44" s="25">
        <v>4722</v>
      </c>
      <c r="K44" s="48">
        <f t="shared" si="1"/>
        <v>90583</v>
      </c>
      <c r="L44" s="24">
        <v>2361</v>
      </c>
      <c r="M44" s="24">
        <v>88222</v>
      </c>
      <c r="N44" s="24">
        <v>38221</v>
      </c>
      <c r="O44" s="31">
        <f t="shared" si="2"/>
        <v>2.308207529891944</v>
      </c>
    </row>
    <row r="45" spans="2:15" ht="15" customHeight="1">
      <c r="B45" s="16">
        <v>38</v>
      </c>
      <c r="C45" s="17" t="s">
        <v>60</v>
      </c>
      <c r="E45" s="23">
        <f t="shared" si="0"/>
        <v>138342</v>
      </c>
      <c r="F45" s="24">
        <v>7177</v>
      </c>
      <c r="G45" s="24">
        <v>20650</v>
      </c>
      <c r="H45" s="24">
        <v>84430</v>
      </c>
      <c r="I45" s="25">
        <v>26085</v>
      </c>
      <c r="K45" s="48">
        <f t="shared" si="1"/>
        <v>241574</v>
      </c>
      <c r="L45" s="24">
        <v>5255</v>
      </c>
      <c r="M45" s="24">
        <v>236319</v>
      </c>
      <c r="N45" s="24">
        <v>98910</v>
      </c>
      <c r="O45" s="31">
        <f t="shared" si="2"/>
        <v>2.3892326357294511</v>
      </c>
    </row>
    <row r="46" spans="2:15" ht="15" customHeight="1">
      <c r="B46" s="16">
        <v>39</v>
      </c>
      <c r="C46" s="17" t="s">
        <v>61</v>
      </c>
      <c r="E46" s="23">
        <f t="shared" si="0"/>
        <v>196830</v>
      </c>
      <c r="F46" s="24">
        <v>13608</v>
      </c>
      <c r="G46" s="24">
        <v>37705</v>
      </c>
      <c r="H46" s="24">
        <v>121626</v>
      </c>
      <c r="I46" s="25">
        <v>23891</v>
      </c>
      <c r="K46" s="48">
        <f t="shared" si="1"/>
        <v>394643</v>
      </c>
      <c r="L46" s="24">
        <v>8562</v>
      </c>
      <c r="M46" s="24">
        <v>386081</v>
      </c>
      <c r="N46" s="24">
        <v>170375</v>
      </c>
      <c r="O46" s="31">
        <f t="shared" si="2"/>
        <v>2.2660660308143799</v>
      </c>
    </row>
    <row r="47" spans="2:15" ht="15" customHeight="1">
      <c r="B47" s="16">
        <v>40</v>
      </c>
      <c r="C47" s="17" t="s">
        <v>62</v>
      </c>
      <c r="E47" s="23">
        <f t="shared" si="0"/>
        <v>15902</v>
      </c>
      <c r="F47" s="24">
        <v>657</v>
      </c>
      <c r="G47" s="24">
        <v>766</v>
      </c>
      <c r="H47" s="24">
        <v>13472</v>
      </c>
      <c r="I47" s="25">
        <v>1007</v>
      </c>
      <c r="K47" s="48">
        <f t="shared" si="1"/>
        <v>11950</v>
      </c>
      <c r="L47" s="24">
        <v>5952</v>
      </c>
      <c r="M47" s="24">
        <v>5998</v>
      </c>
      <c r="N47" s="24">
        <v>3229</v>
      </c>
      <c r="O47" s="31">
        <f t="shared" si="2"/>
        <v>1.8575410343759677</v>
      </c>
    </row>
    <row r="48" spans="2:15" ht="15" customHeight="1">
      <c r="B48" s="16">
        <v>41</v>
      </c>
      <c r="C48" s="17" t="s">
        <v>63</v>
      </c>
      <c r="E48" s="23">
        <f t="shared" si="0"/>
        <v>1876</v>
      </c>
      <c r="F48" s="24">
        <v>17</v>
      </c>
      <c r="G48" s="24">
        <v>193</v>
      </c>
      <c r="H48" s="24">
        <v>1490</v>
      </c>
      <c r="I48" s="25">
        <v>176</v>
      </c>
      <c r="K48" s="48">
        <f t="shared" si="1"/>
        <v>11685</v>
      </c>
      <c r="L48" s="24">
        <v>40</v>
      </c>
      <c r="M48" s="24">
        <v>11645</v>
      </c>
      <c r="N48" s="24">
        <v>5193</v>
      </c>
      <c r="O48" s="31">
        <f t="shared" si="2"/>
        <v>2.2424417485076065</v>
      </c>
    </row>
    <row r="49" spans="2:15" ht="15" customHeight="1">
      <c r="B49" s="16">
        <v>42</v>
      </c>
      <c r="C49" s="17" t="s">
        <v>64</v>
      </c>
      <c r="E49" s="23">
        <f t="shared" si="0"/>
        <v>14287</v>
      </c>
      <c r="F49" s="24">
        <v>160</v>
      </c>
      <c r="G49" s="24">
        <v>1910</v>
      </c>
      <c r="H49" s="24">
        <v>11849</v>
      </c>
      <c r="I49" s="25">
        <v>368</v>
      </c>
      <c r="K49" s="48">
        <f t="shared" si="1"/>
        <v>22575</v>
      </c>
      <c r="L49" s="24">
        <v>651</v>
      </c>
      <c r="M49" s="24">
        <v>21924</v>
      </c>
      <c r="N49" s="24">
        <v>10292</v>
      </c>
      <c r="O49" s="31">
        <f t="shared" si="2"/>
        <v>2.1301982122036534</v>
      </c>
    </row>
    <row r="50" spans="2:15" ht="15" customHeight="1">
      <c r="B50" s="16">
        <v>43</v>
      </c>
      <c r="C50" s="17" t="s">
        <v>65</v>
      </c>
      <c r="E50" s="23">
        <f t="shared" si="0"/>
        <v>35509</v>
      </c>
      <c r="F50" s="24">
        <v>487</v>
      </c>
      <c r="G50" s="24">
        <v>5735</v>
      </c>
      <c r="H50" s="24">
        <v>25613</v>
      </c>
      <c r="I50" s="25">
        <v>3674</v>
      </c>
      <c r="K50" s="48">
        <f t="shared" si="1"/>
        <v>95831</v>
      </c>
      <c r="L50" s="24">
        <v>624</v>
      </c>
      <c r="M50" s="24">
        <v>95207</v>
      </c>
      <c r="N50" s="24">
        <v>42558</v>
      </c>
      <c r="O50" s="31">
        <f t="shared" si="2"/>
        <v>2.2371117063771795</v>
      </c>
    </row>
    <row r="51" spans="2:15" ht="15" customHeight="1" thickBot="1">
      <c r="B51" s="16">
        <v>44</v>
      </c>
      <c r="C51" s="17" t="s">
        <v>66</v>
      </c>
      <c r="E51" s="23">
        <f t="shared" si="0"/>
        <v>83788</v>
      </c>
      <c r="F51" s="24">
        <v>1685</v>
      </c>
      <c r="G51" s="24">
        <v>13922</v>
      </c>
      <c r="H51" s="24">
        <v>62844</v>
      </c>
      <c r="I51" s="25">
        <v>5337</v>
      </c>
      <c r="K51" s="48">
        <f t="shared" si="1"/>
        <v>145293</v>
      </c>
      <c r="L51" s="24">
        <v>1393</v>
      </c>
      <c r="M51" s="24">
        <v>143900</v>
      </c>
      <c r="N51" s="24">
        <v>63531</v>
      </c>
      <c r="O51" s="31">
        <f t="shared" si="2"/>
        <v>2.2650359666934254</v>
      </c>
    </row>
    <row r="52" spans="2:15" ht="15" customHeight="1" thickBot="1">
      <c r="B52" s="18"/>
      <c r="C52" s="19" t="s">
        <v>3</v>
      </c>
      <c r="E52" s="26">
        <f>SUM(E8:E51)</f>
        <v>1766356</v>
      </c>
      <c r="F52" s="27">
        <f t="shared" ref="F52:I52" si="3">SUM(F8:F51)</f>
        <v>74193</v>
      </c>
      <c r="G52" s="27">
        <f t="shared" si="3"/>
        <v>275242</v>
      </c>
      <c r="H52" s="27">
        <f t="shared" si="3"/>
        <v>1230053</v>
      </c>
      <c r="I52" s="28">
        <f t="shared" si="3"/>
        <v>186868</v>
      </c>
      <c r="J52" s="29"/>
      <c r="K52" s="26">
        <f t="shared" si="1"/>
        <v>2856957</v>
      </c>
      <c r="L52" s="27">
        <f t="shared" ref="L52:N52" si="4">SUM(L8:L51)</f>
        <v>75817</v>
      </c>
      <c r="M52" s="27">
        <f t="shared" si="4"/>
        <v>2781140</v>
      </c>
      <c r="N52" s="27">
        <f t="shared" si="4"/>
        <v>1228456</v>
      </c>
      <c r="O52" s="32">
        <f t="shared" si="2"/>
        <v>2.2639313088950681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3:O52"/>
  <sheetViews>
    <sheetView zoomScale="75" zoomScaleNormal="75" workbookViewId="0"/>
  </sheetViews>
  <sheetFormatPr defaultRowHeight="12.75"/>
  <cols>
    <col min="1" max="1" width="9.140625" style="7"/>
    <col min="2" max="2" width="9.28515625" style="7" bestFit="1" customWidth="1"/>
    <col min="3" max="3" width="55.7109375" style="7" customWidth="1"/>
    <col min="4" max="4" width="2.7109375" style="7" customWidth="1"/>
    <col min="5" max="9" width="14.7109375" style="7" customWidth="1"/>
    <col min="10" max="10" width="2.7109375" style="7" customWidth="1"/>
    <col min="11" max="15" width="14.7109375" style="7" customWidth="1"/>
    <col min="16" max="16384" width="9.140625" style="7"/>
  </cols>
  <sheetData>
    <row r="3" spans="2:15" ht="20.25">
      <c r="B3" s="8" t="s">
        <v>18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2:15" ht="18">
      <c r="B4" s="9" t="s">
        <v>21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2:15" ht="13.5" thickBot="1"/>
    <row r="6" spans="2:15" ht="20.100000000000001" customHeight="1" thickBot="1">
      <c r="B6" s="14"/>
      <c r="C6" s="15"/>
      <c r="E6" s="11" t="s">
        <v>14</v>
      </c>
      <c r="F6" s="12"/>
      <c r="G6" s="12"/>
      <c r="H6" s="12"/>
      <c r="I6" s="13"/>
      <c r="K6" s="11" t="s">
        <v>15</v>
      </c>
      <c r="L6" s="12"/>
      <c r="M6" s="12"/>
      <c r="N6" s="12"/>
      <c r="O6" s="13"/>
    </row>
    <row r="7" spans="2:15" ht="15" customHeight="1" thickBot="1">
      <c r="B7" s="46" t="s">
        <v>0</v>
      </c>
      <c r="C7" s="47" t="s">
        <v>1</v>
      </c>
      <c r="E7" s="3" t="s">
        <v>3</v>
      </c>
      <c r="F7" s="1" t="s">
        <v>4</v>
      </c>
      <c r="G7" s="1" t="s">
        <v>5</v>
      </c>
      <c r="H7" s="1" t="s">
        <v>6</v>
      </c>
      <c r="I7" s="2" t="s">
        <v>7</v>
      </c>
      <c r="K7" s="4" t="s">
        <v>13</v>
      </c>
      <c r="L7" s="5" t="s">
        <v>9</v>
      </c>
      <c r="M7" s="5" t="s">
        <v>8</v>
      </c>
      <c r="N7" s="5" t="s">
        <v>10</v>
      </c>
      <c r="O7" s="6" t="s">
        <v>11</v>
      </c>
    </row>
    <row r="8" spans="2:15" ht="15" customHeight="1">
      <c r="B8" s="16">
        <v>1</v>
      </c>
      <c r="C8" s="17" t="s">
        <v>23</v>
      </c>
      <c r="E8" s="20">
        <f>'Cy11_2045_44Dists_02-07'!E8-'Cy11_2020_44Dists_02-07'!E8</f>
        <v>540</v>
      </c>
      <c r="F8" s="21">
        <f>'Cy11_2045_44Dists_02-07'!F8-'Cy11_2020_44Dists_02-07'!F8</f>
        <v>-166</v>
      </c>
      <c r="G8" s="21">
        <f>'Cy11_2045_44Dists_02-07'!G8-'Cy11_2020_44Dists_02-07'!G8</f>
        <v>80</v>
      </c>
      <c r="H8" s="21">
        <f>'Cy11_2045_44Dists_02-07'!H8-'Cy11_2020_44Dists_02-07'!H8</f>
        <v>610</v>
      </c>
      <c r="I8" s="22">
        <f>'Cy11_2045_44Dists_02-07'!I8-'Cy11_2020_44Dists_02-07'!I8</f>
        <v>16</v>
      </c>
      <c r="K8" s="48">
        <f>'Cy11_2045_44Dists_02-07'!K8-'Cy11_2020_44Dists_02-07'!K8</f>
        <v>1343</v>
      </c>
      <c r="L8" s="24">
        <f>'Cy11_2045_44Dists_02-07'!L8-'Cy11_2020_44Dists_02-07'!L8</f>
        <v>0</v>
      </c>
      <c r="M8" s="24">
        <f>'Cy11_2045_44Dists_02-07'!M8-'Cy11_2020_44Dists_02-07'!M8</f>
        <v>1343</v>
      </c>
      <c r="N8" s="24">
        <f>'Cy11_2045_44Dists_02-07'!N8-'Cy11_2020_44Dists_02-07'!N8</f>
        <v>989</v>
      </c>
      <c r="O8" s="33">
        <f>'Cy11_2045_44Dists_02-07'!O8-'Cy11_2020_44Dists_02-07'!O8</f>
        <v>-0.19677508722319503</v>
      </c>
    </row>
    <row r="9" spans="2:15" ht="15" customHeight="1">
      <c r="B9" s="16">
        <v>2</v>
      </c>
      <c r="C9" s="17" t="s">
        <v>24</v>
      </c>
      <c r="E9" s="23">
        <f>'Cy11_2045_44Dists_02-07'!E9-'Cy11_2020_44Dists_02-07'!E9</f>
        <v>-325</v>
      </c>
      <c r="F9" s="24">
        <f>'Cy11_2045_44Dists_02-07'!F9-'Cy11_2020_44Dists_02-07'!F9</f>
        <v>-355</v>
      </c>
      <c r="G9" s="24">
        <f>'Cy11_2045_44Dists_02-07'!G9-'Cy11_2020_44Dists_02-07'!G9</f>
        <v>-51</v>
      </c>
      <c r="H9" s="24">
        <f>'Cy11_2045_44Dists_02-07'!H9-'Cy11_2020_44Dists_02-07'!H9</f>
        <v>46</v>
      </c>
      <c r="I9" s="25">
        <f>'Cy11_2045_44Dists_02-07'!I9-'Cy11_2020_44Dists_02-07'!I9</f>
        <v>35</v>
      </c>
      <c r="K9" s="48">
        <f>'Cy11_2045_44Dists_02-07'!K9-'Cy11_2020_44Dists_02-07'!K9</f>
        <v>382</v>
      </c>
      <c r="L9" s="24">
        <f>'Cy11_2045_44Dists_02-07'!L9-'Cy11_2020_44Dists_02-07'!L9</f>
        <v>0</v>
      </c>
      <c r="M9" s="24">
        <f>'Cy11_2045_44Dists_02-07'!M9-'Cy11_2020_44Dists_02-07'!M9</f>
        <v>382</v>
      </c>
      <c r="N9" s="24">
        <f>'Cy11_2045_44Dists_02-07'!N9-'Cy11_2020_44Dists_02-07'!N9</f>
        <v>595</v>
      </c>
      <c r="O9" s="34">
        <f>'Cy11_2045_44Dists_02-07'!O9-'Cy11_2020_44Dists_02-07'!O9</f>
        <v>-0.13470585039926108</v>
      </c>
    </row>
    <row r="10" spans="2:15" ht="15" customHeight="1">
      <c r="B10" s="16">
        <v>3</v>
      </c>
      <c r="C10" s="17" t="s">
        <v>25</v>
      </c>
      <c r="E10" s="23">
        <f>'Cy11_2045_44Dists_02-07'!E10-'Cy11_2020_44Dists_02-07'!E10</f>
        <v>681</v>
      </c>
      <c r="F10" s="24">
        <f>'Cy11_2045_44Dists_02-07'!F10-'Cy11_2020_44Dists_02-07'!F10</f>
        <v>-284</v>
      </c>
      <c r="G10" s="24">
        <f>'Cy11_2045_44Dists_02-07'!G10-'Cy11_2020_44Dists_02-07'!G10</f>
        <v>30</v>
      </c>
      <c r="H10" s="24">
        <f>'Cy11_2045_44Dists_02-07'!H10-'Cy11_2020_44Dists_02-07'!H10</f>
        <v>752</v>
      </c>
      <c r="I10" s="25">
        <f>'Cy11_2045_44Dists_02-07'!I10-'Cy11_2020_44Dists_02-07'!I10</f>
        <v>183</v>
      </c>
      <c r="K10" s="48">
        <f>'Cy11_2045_44Dists_02-07'!K10-'Cy11_2020_44Dists_02-07'!K10</f>
        <v>1997</v>
      </c>
      <c r="L10" s="24">
        <f>'Cy11_2045_44Dists_02-07'!L10-'Cy11_2020_44Dists_02-07'!L10</f>
        <v>0</v>
      </c>
      <c r="M10" s="24">
        <f>'Cy11_2045_44Dists_02-07'!M10-'Cy11_2020_44Dists_02-07'!M10</f>
        <v>1997</v>
      </c>
      <c r="N10" s="24">
        <f>'Cy11_2045_44Dists_02-07'!N10-'Cy11_2020_44Dists_02-07'!N10</f>
        <v>1265</v>
      </c>
      <c r="O10" s="34">
        <f>'Cy11_2045_44Dists_02-07'!O10-'Cy11_2020_44Dists_02-07'!O10</f>
        <v>-6.9640455785759947E-2</v>
      </c>
    </row>
    <row r="11" spans="2:15" ht="15" customHeight="1">
      <c r="B11" s="16">
        <v>4</v>
      </c>
      <c r="C11" s="17" t="s">
        <v>26</v>
      </c>
      <c r="E11" s="23">
        <f>'Cy11_2045_44Dists_02-07'!E11-'Cy11_2020_44Dists_02-07'!E11</f>
        <v>1479</v>
      </c>
      <c r="F11" s="24">
        <f>'Cy11_2045_44Dists_02-07'!F11-'Cy11_2020_44Dists_02-07'!F11</f>
        <v>-379</v>
      </c>
      <c r="G11" s="24">
        <f>'Cy11_2045_44Dists_02-07'!G11-'Cy11_2020_44Dists_02-07'!G11</f>
        <v>-43</v>
      </c>
      <c r="H11" s="24">
        <f>'Cy11_2045_44Dists_02-07'!H11-'Cy11_2020_44Dists_02-07'!H11</f>
        <v>1333</v>
      </c>
      <c r="I11" s="25">
        <f>'Cy11_2045_44Dists_02-07'!I11-'Cy11_2020_44Dists_02-07'!I11</f>
        <v>568</v>
      </c>
      <c r="K11" s="48">
        <f>'Cy11_2045_44Dists_02-07'!K11-'Cy11_2020_44Dists_02-07'!K11</f>
        <v>3118</v>
      </c>
      <c r="L11" s="24">
        <f>'Cy11_2045_44Dists_02-07'!L11-'Cy11_2020_44Dists_02-07'!L11</f>
        <v>0</v>
      </c>
      <c r="M11" s="24">
        <f>'Cy11_2045_44Dists_02-07'!M11-'Cy11_2020_44Dists_02-07'!M11</f>
        <v>3118</v>
      </c>
      <c r="N11" s="24">
        <f>'Cy11_2045_44Dists_02-07'!N11-'Cy11_2020_44Dists_02-07'!N11</f>
        <v>1757</v>
      </c>
      <c r="O11" s="34">
        <f>'Cy11_2045_44Dists_02-07'!O11-'Cy11_2020_44Dists_02-07'!O11</f>
        <v>-3.7841808295770107E-2</v>
      </c>
    </row>
    <row r="12" spans="2:15" ht="15" customHeight="1">
      <c r="B12" s="16">
        <v>5</v>
      </c>
      <c r="C12" s="17" t="s">
        <v>27</v>
      </c>
      <c r="E12" s="23">
        <f>'Cy11_2045_44Dists_02-07'!E12-'Cy11_2020_44Dists_02-07'!E12</f>
        <v>14648</v>
      </c>
      <c r="F12" s="24">
        <f>'Cy11_2045_44Dists_02-07'!F12-'Cy11_2020_44Dists_02-07'!F12</f>
        <v>-2374</v>
      </c>
      <c r="G12" s="24">
        <f>'Cy11_2045_44Dists_02-07'!G12-'Cy11_2020_44Dists_02-07'!G12</f>
        <v>1545</v>
      </c>
      <c r="H12" s="24">
        <f>'Cy11_2045_44Dists_02-07'!H12-'Cy11_2020_44Dists_02-07'!H12</f>
        <v>15678</v>
      </c>
      <c r="I12" s="25">
        <f>'Cy11_2045_44Dists_02-07'!I12-'Cy11_2020_44Dists_02-07'!I12</f>
        <v>-201</v>
      </c>
      <c r="K12" s="48">
        <f>'Cy11_2045_44Dists_02-07'!K12-'Cy11_2020_44Dists_02-07'!K12</f>
        <v>40309</v>
      </c>
      <c r="L12" s="24">
        <f>'Cy11_2045_44Dists_02-07'!L12-'Cy11_2020_44Dists_02-07'!L12</f>
        <v>0</v>
      </c>
      <c r="M12" s="24">
        <f>'Cy11_2045_44Dists_02-07'!M12-'Cy11_2020_44Dists_02-07'!M12</f>
        <v>40309</v>
      </c>
      <c r="N12" s="24">
        <f>'Cy11_2045_44Dists_02-07'!N12-'Cy11_2020_44Dists_02-07'!N12</f>
        <v>19781</v>
      </c>
      <c r="O12" s="34">
        <f>'Cy11_2045_44Dists_02-07'!O12-'Cy11_2020_44Dists_02-07'!O12</f>
        <v>-5.7301454685106279E-2</v>
      </c>
    </row>
    <row r="13" spans="2:15" ht="15" customHeight="1">
      <c r="B13" s="16">
        <v>6</v>
      </c>
      <c r="C13" s="17" t="s">
        <v>28</v>
      </c>
      <c r="E13" s="23">
        <f>'Cy11_2045_44Dists_02-07'!E13-'Cy11_2020_44Dists_02-07'!E13</f>
        <v>11312</v>
      </c>
      <c r="F13" s="24">
        <f>'Cy11_2045_44Dists_02-07'!F13-'Cy11_2020_44Dists_02-07'!F13</f>
        <v>1342</v>
      </c>
      <c r="G13" s="24">
        <f>'Cy11_2045_44Dists_02-07'!G13-'Cy11_2020_44Dists_02-07'!G13</f>
        <v>7</v>
      </c>
      <c r="H13" s="24">
        <f>'Cy11_2045_44Dists_02-07'!H13-'Cy11_2020_44Dists_02-07'!H13</f>
        <v>9928</v>
      </c>
      <c r="I13" s="25">
        <f>'Cy11_2045_44Dists_02-07'!I13-'Cy11_2020_44Dists_02-07'!I13</f>
        <v>35</v>
      </c>
      <c r="K13" s="48">
        <f>'Cy11_2045_44Dists_02-07'!K13-'Cy11_2020_44Dists_02-07'!K13</f>
        <v>9039</v>
      </c>
      <c r="L13" s="24">
        <f>'Cy11_2045_44Dists_02-07'!L13-'Cy11_2020_44Dists_02-07'!L13</f>
        <v>0</v>
      </c>
      <c r="M13" s="24">
        <f>'Cy11_2045_44Dists_02-07'!M13-'Cy11_2020_44Dists_02-07'!M13</f>
        <v>9039</v>
      </c>
      <c r="N13" s="24">
        <f>'Cy11_2045_44Dists_02-07'!N13-'Cy11_2020_44Dists_02-07'!N13</f>
        <v>4025</v>
      </c>
      <c r="O13" s="34">
        <f>'Cy11_2045_44Dists_02-07'!O13-'Cy11_2020_44Dists_02-07'!O13</f>
        <v>-2.7236496639540864E-2</v>
      </c>
    </row>
    <row r="14" spans="2:15" ht="15" customHeight="1">
      <c r="B14" s="16">
        <v>7</v>
      </c>
      <c r="C14" s="17" t="s">
        <v>29</v>
      </c>
      <c r="E14" s="23">
        <f>'Cy11_2045_44Dists_02-07'!E14-'Cy11_2020_44Dists_02-07'!E14</f>
        <v>1074</v>
      </c>
      <c r="F14" s="24">
        <f>'Cy11_2045_44Dists_02-07'!F14-'Cy11_2020_44Dists_02-07'!F14</f>
        <v>-75</v>
      </c>
      <c r="G14" s="24">
        <f>'Cy11_2045_44Dists_02-07'!G14-'Cy11_2020_44Dists_02-07'!G14</f>
        <v>101</v>
      </c>
      <c r="H14" s="24">
        <f>'Cy11_2045_44Dists_02-07'!H14-'Cy11_2020_44Dists_02-07'!H14</f>
        <v>997</v>
      </c>
      <c r="I14" s="25">
        <f>'Cy11_2045_44Dists_02-07'!I14-'Cy11_2020_44Dists_02-07'!I14</f>
        <v>51</v>
      </c>
      <c r="K14" s="48">
        <f>'Cy11_2045_44Dists_02-07'!K14-'Cy11_2020_44Dists_02-07'!K14</f>
        <v>6790</v>
      </c>
      <c r="L14" s="24">
        <f>'Cy11_2045_44Dists_02-07'!L14-'Cy11_2020_44Dists_02-07'!L14</f>
        <v>0</v>
      </c>
      <c r="M14" s="24">
        <f>'Cy11_2045_44Dists_02-07'!M14-'Cy11_2020_44Dists_02-07'!M14</f>
        <v>6790</v>
      </c>
      <c r="N14" s="24">
        <f>'Cy11_2045_44Dists_02-07'!N14-'Cy11_2020_44Dists_02-07'!N14</f>
        <v>2421</v>
      </c>
      <c r="O14" s="34">
        <f>'Cy11_2045_44Dists_02-07'!O14-'Cy11_2020_44Dists_02-07'!O14</f>
        <v>8.6281601188817447E-2</v>
      </c>
    </row>
    <row r="15" spans="2:15" ht="15" customHeight="1">
      <c r="B15" s="16">
        <v>8</v>
      </c>
      <c r="C15" s="17" t="s">
        <v>30</v>
      </c>
      <c r="E15" s="23">
        <f>'Cy11_2045_44Dists_02-07'!E15-'Cy11_2020_44Dists_02-07'!E15</f>
        <v>2408</v>
      </c>
      <c r="F15" s="24">
        <f>'Cy11_2045_44Dists_02-07'!F15-'Cy11_2020_44Dists_02-07'!F15</f>
        <v>-148</v>
      </c>
      <c r="G15" s="24">
        <f>'Cy11_2045_44Dists_02-07'!G15-'Cy11_2020_44Dists_02-07'!G15</f>
        <v>-192</v>
      </c>
      <c r="H15" s="24">
        <f>'Cy11_2045_44Dists_02-07'!H15-'Cy11_2020_44Dists_02-07'!H15</f>
        <v>2727</v>
      </c>
      <c r="I15" s="25">
        <f>'Cy11_2045_44Dists_02-07'!I15-'Cy11_2020_44Dists_02-07'!I15</f>
        <v>21</v>
      </c>
      <c r="K15" s="48">
        <f>'Cy11_2045_44Dists_02-07'!K15-'Cy11_2020_44Dists_02-07'!K15</f>
        <v>2322</v>
      </c>
      <c r="L15" s="24">
        <f>'Cy11_2045_44Dists_02-07'!L15-'Cy11_2020_44Dists_02-07'!L15</f>
        <v>0</v>
      </c>
      <c r="M15" s="24">
        <f>'Cy11_2045_44Dists_02-07'!M15-'Cy11_2020_44Dists_02-07'!M15</f>
        <v>2322</v>
      </c>
      <c r="N15" s="24">
        <f>'Cy11_2045_44Dists_02-07'!N15-'Cy11_2020_44Dists_02-07'!N15</f>
        <v>924</v>
      </c>
      <c r="O15" s="34">
        <f>'Cy11_2045_44Dists_02-07'!O15-'Cy11_2020_44Dists_02-07'!O15</f>
        <v>3.8164106911386497E-2</v>
      </c>
    </row>
    <row r="16" spans="2:15" ht="15" customHeight="1">
      <c r="B16" s="16">
        <v>9</v>
      </c>
      <c r="C16" s="17" t="s">
        <v>31</v>
      </c>
      <c r="E16" s="23">
        <f>'Cy11_2045_44Dists_02-07'!E16-'Cy11_2020_44Dists_02-07'!E16</f>
        <v>1198</v>
      </c>
      <c r="F16" s="24">
        <f>'Cy11_2045_44Dists_02-07'!F16-'Cy11_2020_44Dists_02-07'!F16</f>
        <v>-355</v>
      </c>
      <c r="G16" s="24">
        <f>'Cy11_2045_44Dists_02-07'!G16-'Cy11_2020_44Dists_02-07'!G16</f>
        <v>330</v>
      </c>
      <c r="H16" s="24">
        <f>'Cy11_2045_44Dists_02-07'!H16-'Cy11_2020_44Dists_02-07'!H16</f>
        <v>1227</v>
      </c>
      <c r="I16" s="25">
        <f>'Cy11_2045_44Dists_02-07'!I16-'Cy11_2020_44Dists_02-07'!I16</f>
        <v>-4</v>
      </c>
      <c r="K16" s="48">
        <f>'Cy11_2045_44Dists_02-07'!K16-'Cy11_2020_44Dists_02-07'!K16</f>
        <v>2160</v>
      </c>
      <c r="L16" s="24">
        <f>'Cy11_2045_44Dists_02-07'!L16-'Cy11_2020_44Dists_02-07'!L16</f>
        <v>0</v>
      </c>
      <c r="M16" s="24">
        <f>'Cy11_2045_44Dists_02-07'!M16-'Cy11_2020_44Dists_02-07'!M16</f>
        <v>2160</v>
      </c>
      <c r="N16" s="24">
        <f>'Cy11_2045_44Dists_02-07'!N16-'Cy11_2020_44Dists_02-07'!N16</f>
        <v>821</v>
      </c>
      <c r="O16" s="34">
        <f>'Cy11_2045_44Dists_02-07'!O16-'Cy11_2020_44Dists_02-07'!O16</f>
        <v>7.9443773735326406E-2</v>
      </c>
    </row>
    <row r="17" spans="2:15" ht="15" customHeight="1">
      <c r="B17" s="16">
        <v>10</v>
      </c>
      <c r="C17" s="17" t="s">
        <v>32</v>
      </c>
      <c r="E17" s="23">
        <f>'Cy11_2045_44Dists_02-07'!E17-'Cy11_2020_44Dists_02-07'!E17</f>
        <v>-222</v>
      </c>
      <c r="F17" s="24">
        <f>'Cy11_2045_44Dists_02-07'!F17-'Cy11_2020_44Dists_02-07'!F17</f>
        <v>-38</v>
      </c>
      <c r="G17" s="24">
        <f>'Cy11_2045_44Dists_02-07'!G17-'Cy11_2020_44Dists_02-07'!G17</f>
        <v>-142</v>
      </c>
      <c r="H17" s="24">
        <f>'Cy11_2045_44Dists_02-07'!H17-'Cy11_2020_44Dists_02-07'!H17</f>
        <v>-103</v>
      </c>
      <c r="I17" s="25">
        <f>'Cy11_2045_44Dists_02-07'!I17-'Cy11_2020_44Dists_02-07'!I17</f>
        <v>61</v>
      </c>
      <c r="K17" s="48">
        <f>'Cy11_2045_44Dists_02-07'!K17-'Cy11_2020_44Dists_02-07'!K17</f>
        <v>2752</v>
      </c>
      <c r="L17" s="24">
        <f>'Cy11_2045_44Dists_02-07'!L17-'Cy11_2020_44Dists_02-07'!L17</f>
        <v>0</v>
      </c>
      <c r="M17" s="24">
        <f>'Cy11_2045_44Dists_02-07'!M17-'Cy11_2020_44Dists_02-07'!M17</f>
        <v>2752</v>
      </c>
      <c r="N17" s="24">
        <f>'Cy11_2045_44Dists_02-07'!N17-'Cy11_2020_44Dists_02-07'!N17</f>
        <v>1073</v>
      </c>
      <c r="O17" s="34">
        <f>'Cy11_2045_44Dists_02-07'!O17-'Cy11_2020_44Dists_02-07'!O17</f>
        <v>0.1035865851413944</v>
      </c>
    </row>
    <row r="18" spans="2:15" ht="15" customHeight="1">
      <c r="B18" s="16">
        <v>11</v>
      </c>
      <c r="C18" s="17" t="s">
        <v>33</v>
      </c>
      <c r="E18" s="23">
        <f>'Cy11_2045_44Dists_02-07'!E18-'Cy11_2020_44Dists_02-07'!E18</f>
        <v>202</v>
      </c>
      <c r="F18" s="24">
        <f>'Cy11_2045_44Dists_02-07'!F18-'Cy11_2020_44Dists_02-07'!F18</f>
        <v>-59</v>
      </c>
      <c r="G18" s="24">
        <f>'Cy11_2045_44Dists_02-07'!G18-'Cy11_2020_44Dists_02-07'!G18</f>
        <v>-19</v>
      </c>
      <c r="H18" s="24">
        <f>'Cy11_2045_44Dists_02-07'!H18-'Cy11_2020_44Dists_02-07'!H18</f>
        <v>248</v>
      </c>
      <c r="I18" s="25">
        <f>'Cy11_2045_44Dists_02-07'!I18-'Cy11_2020_44Dists_02-07'!I18</f>
        <v>32</v>
      </c>
      <c r="K18" s="48">
        <f>'Cy11_2045_44Dists_02-07'!K18-'Cy11_2020_44Dists_02-07'!K18</f>
        <v>462</v>
      </c>
      <c r="L18" s="24">
        <f>'Cy11_2045_44Dists_02-07'!L18-'Cy11_2020_44Dists_02-07'!L18</f>
        <v>0</v>
      </c>
      <c r="M18" s="24">
        <f>'Cy11_2045_44Dists_02-07'!M18-'Cy11_2020_44Dists_02-07'!M18</f>
        <v>462</v>
      </c>
      <c r="N18" s="24">
        <f>'Cy11_2045_44Dists_02-07'!N18-'Cy11_2020_44Dists_02-07'!N18</f>
        <v>248</v>
      </c>
      <c r="O18" s="34">
        <f>'Cy11_2045_44Dists_02-07'!O18-'Cy11_2020_44Dists_02-07'!O18</f>
        <v>-2.3889540824602484E-2</v>
      </c>
    </row>
    <row r="19" spans="2:15" ht="15" customHeight="1">
      <c r="B19" s="16">
        <v>12</v>
      </c>
      <c r="C19" s="17" t="s">
        <v>34</v>
      </c>
      <c r="E19" s="23">
        <f>'Cy11_2045_44Dists_02-07'!E19-'Cy11_2020_44Dists_02-07'!E19</f>
        <v>18433</v>
      </c>
      <c r="F19" s="24">
        <f>'Cy11_2045_44Dists_02-07'!F19-'Cy11_2020_44Dists_02-07'!F19</f>
        <v>-519</v>
      </c>
      <c r="G19" s="24">
        <f>'Cy11_2045_44Dists_02-07'!G19-'Cy11_2020_44Dists_02-07'!G19</f>
        <v>1158</v>
      </c>
      <c r="H19" s="24">
        <f>'Cy11_2045_44Dists_02-07'!H19-'Cy11_2020_44Dists_02-07'!H19</f>
        <v>17771</v>
      </c>
      <c r="I19" s="25">
        <f>'Cy11_2045_44Dists_02-07'!I19-'Cy11_2020_44Dists_02-07'!I19</f>
        <v>23</v>
      </c>
      <c r="K19" s="48">
        <f>'Cy11_2045_44Dists_02-07'!K19-'Cy11_2020_44Dists_02-07'!K19</f>
        <v>2531</v>
      </c>
      <c r="L19" s="24">
        <f>'Cy11_2045_44Dists_02-07'!L19-'Cy11_2020_44Dists_02-07'!L19</f>
        <v>0</v>
      </c>
      <c r="M19" s="24">
        <f>'Cy11_2045_44Dists_02-07'!M19-'Cy11_2020_44Dists_02-07'!M19</f>
        <v>2531</v>
      </c>
      <c r="N19" s="24">
        <f>'Cy11_2045_44Dists_02-07'!N19-'Cy11_2020_44Dists_02-07'!N19</f>
        <v>1560</v>
      </c>
      <c r="O19" s="34">
        <f>'Cy11_2045_44Dists_02-07'!O19-'Cy11_2020_44Dists_02-07'!O19</f>
        <v>5.4138417256682114E-2</v>
      </c>
    </row>
    <row r="20" spans="2:15" ht="15" customHeight="1">
      <c r="B20" s="16">
        <v>13</v>
      </c>
      <c r="C20" s="17" t="s">
        <v>35</v>
      </c>
      <c r="E20" s="23">
        <f>'Cy11_2045_44Dists_02-07'!E20-'Cy11_2020_44Dists_02-07'!E20</f>
        <v>870</v>
      </c>
      <c r="F20" s="24">
        <f>'Cy11_2045_44Dists_02-07'!F20-'Cy11_2020_44Dists_02-07'!F20</f>
        <v>-179</v>
      </c>
      <c r="G20" s="24">
        <f>'Cy11_2045_44Dists_02-07'!G20-'Cy11_2020_44Dists_02-07'!G20</f>
        <v>74</v>
      </c>
      <c r="H20" s="24">
        <f>'Cy11_2045_44Dists_02-07'!H20-'Cy11_2020_44Dists_02-07'!H20</f>
        <v>950</v>
      </c>
      <c r="I20" s="25">
        <f>'Cy11_2045_44Dists_02-07'!I20-'Cy11_2020_44Dists_02-07'!I20</f>
        <v>25</v>
      </c>
      <c r="K20" s="48">
        <f>'Cy11_2045_44Dists_02-07'!K20-'Cy11_2020_44Dists_02-07'!K20</f>
        <v>557</v>
      </c>
      <c r="L20" s="24">
        <f>'Cy11_2045_44Dists_02-07'!L20-'Cy11_2020_44Dists_02-07'!L20</f>
        <v>0</v>
      </c>
      <c r="M20" s="24">
        <f>'Cy11_2045_44Dists_02-07'!M20-'Cy11_2020_44Dists_02-07'!M20</f>
        <v>557</v>
      </c>
      <c r="N20" s="24">
        <f>'Cy11_2045_44Dists_02-07'!N20-'Cy11_2020_44Dists_02-07'!N20</f>
        <v>489</v>
      </c>
      <c r="O20" s="34">
        <f>'Cy11_2045_44Dists_02-07'!O20-'Cy11_2020_44Dists_02-07'!O20</f>
        <v>-8.9412585966182512E-2</v>
      </c>
    </row>
    <row r="21" spans="2:15" ht="15" customHeight="1">
      <c r="B21" s="16">
        <v>14</v>
      </c>
      <c r="C21" s="17" t="s">
        <v>36</v>
      </c>
      <c r="E21" s="23">
        <f>'Cy11_2045_44Dists_02-07'!E21-'Cy11_2020_44Dists_02-07'!E21</f>
        <v>2091</v>
      </c>
      <c r="F21" s="24">
        <f>'Cy11_2045_44Dists_02-07'!F21-'Cy11_2020_44Dists_02-07'!F21</f>
        <v>-89</v>
      </c>
      <c r="G21" s="24">
        <f>'Cy11_2045_44Dists_02-07'!G21-'Cy11_2020_44Dists_02-07'!G21</f>
        <v>506</v>
      </c>
      <c r="H21" s="24">
        <f>'Cy11_2045_44Dists_02-07'!H21-'Cy11_2020_44Dists_02-07'!H21</f>
        <v>1679</v>
      </c>
      <c r="I21" s="25">
        <f>'Cy11_2045_44Dists_02-07'!I21-'Cy11_2020_44Dists_02-07'!I21</f>
        <v>-5</v>
      </c>
      <c r="K21" s="48">
        <f>'Cy11_2045_44Dists_02-07'!K21-'Cy11_2020_44Dists_02-07'!K21</f>
        <v>1337</v>
      </c>
      <c r="L21" s="24">
        <f>'Cy11_2045_44Dists_02-07'!L21-'Cy11_2020_44Dists_02-07'!L21</f>
        <v>0</v>
      </c>
      <c r="M21" s="24">
        <f>'Cy11_2045_44Dists_02-07'!M21-'Cy11_2020_44Dists_02-07'!M21</f>
        <v>1337</v>
      </c>
      <c r="N21" s="24">
        <f>'Cy11_2045_44Dists_02-07'!N21-'Cy11_2020_44Dists_02-07'!N21</f>
        <v>1390</v>
      </c>
      <c r="O21" s="34">
        <f>'Cy11_2045_44Dists_02-07'!O21-'Cy11_2020_44Dists_02-07'!O21</f>
        <v>-0.20507052755856581</v>
      </c>
    </row>
    <row r="22" spans="2:15" ht="15" customHeight="1">
      <c r="B22" s="16">
        <v>15</v>
      </c>
      <c r="C22" s="17" t="s">
        <v>37</v>
      </c>
      <c r="E22" s="23">
        <f>'Cy11_2045_44Dists_02-07'!E22-'Cy11_2020_44Dists_02-07'!E22</f>
        <v>1771</v>
      </c>
      <c r="F22" s="24">
        <f>'Cy11_2045_44Dists_02-07'!F22-'Cy11_2020_44Dists_02-07'!F22</f>
        <v>-606</v>
      </c>
      <c r="G22" s="24">
        <f>'Cy11_2045_44Dists_02-07'!G22-'Cy11_2020_44Dists_02-07'!G22</f>
        <v>220</v>
      </c>
      <c r="H22" s="24">
        <f>'Cy11_2045_44Dists_02-07'!H22-'Cy11_2020_44Dists_02-07'!H22</f>
        <v>2179</v>
      </c>
      <c r="I22" s="25">
        <f>'Cy11_2045_44Dists_02-07'!I22-'Cy11_2020_44Dists_02-07'!I22</f>
        <v>-22</v>
      </c>
      <c r="K22" s="48">
        <f>'Cy11_2045_44Dists_02-07'!K22-'Cy11_2020_44Dists_02-07'!K22</f>
        <v>4245</v>
      </c>
      <c r="L22" s="24">
        <f>'Cy11_2045_44Dists_02-07'!L22-'Cy11_2020_44Dists_02-07'!L22</f>
        <v>0</v>
      </c>
      <c r="M22" s="24">
        <f>'Cy11_2045_44Dists_02-07'!M22-'Cy11_2020_44Dists_02-07'!M22</f>
        <v>4245</v>
      </c>
      <c r="N22" s="24">
        <f>'Cy11_2045_44Dists_02-07'!N22-'Cy11_2020_44Dists_02-07'!N22</f>
        <v>2526</v>
      </c>
      <c r="O22" s="34">
        <f>'Cy11_2045_44Dists_02-07'!O22-'Cy11_2020_44Dists_02-07'!O22</f>
        <v>-3.764671845852674E-2</v>
      </c>
    </row>
    <row r="23" spans="2:15" ht="15" customHeight="1">
      <c r="B23" s="16">
        <v>16</v>
      </c>
      <c r="C23" s="17" t="s">
        <v>38</v>
      </c>
      <c r="E23" s="23">
        <f>'Cy11_2045_44Dists_02-07'!E23-'Cy11_2020_44Dists_02-07'!E23</f>
        <v>73</v>
      </c>
      <c r="F23" s="24">
        <f>'Cy11_2045_44Dists_02-07'!F23-'Cy11_2020_44Dists_02-07'!F23</f>
        <v>-56</v>
      </c>
      <c r="G23" s="24">
        <f>'Cy11_2045_44Dists_02-07'!G23-'Cy11_2020_44Dists_02-07'!G23</f>
        <v>8</v>
      </c>
      <c r="H23" s="24">
        <f>'Cy11_2045_44Dists_02-07'!H23-'Cy11_2020_44Dists_02-07'!H23</f>
        <v>105</v>
      </c>
      <c r="I23" s="25">
        <f>'Cy11_2045_44Dists_02-07'!I23-'Cy11_2020_44Dists_02-07'!I23</f>
        <v>16</v>
      </c>
      <c r="K23" s="48">
        <f>'Cy11_2045_44Dists_02-07'!K23-'Cy11_2020_44Dists_02-07'!K23</f>
        <v>697</v>
      </c>
      <c r="L23" s="24">
        <f>'Cy11_2045_44Dists_02-07'!L23-'Cy11_2020_44Dists_02-07'!L23</f>
        <v>0</v>
      </c>
      <c r="M23" s="24">
        <f>'Cy11_2045_44Dists_02-07'!M23-'Cy11_2020_44Dists_02-07'!M23</f>
        <v>697</v>
      </c>
      <c r="N23" s="24">
        <f>'Cy11_2045_44Dists_02-07'!N23-'Cy11_2020_44Dists_02-07'!N23</f>
        <v>265</v>
      </c>
      <c r="O23" s="34">
        <f>'Cy11_2045_44Dists_02-07'!O23-'Cy11_2020_44Dists_02-07'!O23</f>
        <v>2.5299646659430408E-2</v>
      </c>
    </row>
    <row r="24" spans="2:15" ht="15" customHeight="1">
      <c r="B24" s="16">
        <v>17</v>
      </c>
      <c r="C24" s="17" t="s">
        <v>39</v>
      </c>
      <c r="E24" s="23">
        <f>'Cy11_2045_44Dists_02-07'!E24-'Cy11_2020_44Dists_02-07'!E24</f>
        <v>1143</v>
      </c>
      <c r="F24" s="24">
        <f>'Cy11_2045_44Dists_02-07'!F24-'Cy11_2020_44Dists_02-07'!F24</f>
        <v>-300</v>
      </c>
      <c r="G24" s="24">
        <f>'Cy11_2045_44Dists_02-07'!G24-'Cy11_2020_44Dists_02-07'!G24</f>
        <v>61</v>
      </c>
      <c r="H24" s="24">
        <f>'Cy11_2045_44Dists_02-07'!H24-'Cy11_2020_44Dists_02-07'!H24</f>
        <v>1455</v>
      </c>
      <c r="I24" s="25">
        <f>'Cy11_2045_44Dists_02-07'!I24-'Cy11_2020_44Dists_02-07'!I24</f>
        <v>-73</v>
      </c>
      <c r="K24" s="48">
        <f>'Cy11_2045_44Dists_02-07'!K24-'Cy11_2020_44Dists_02-07'!K24</f>
        <v>2415</v>
      </c>
      <c r="L24" s="24">
        <f>'Cy11_2045_44Dists_02-07'!L24-'Cy11_2020_44Dists_02-07'!L24</f>
        <v>0</v>
      </c>
      <c r="M24" s="24">
        <f>'Cy11_2045_44Dists_02-07'!M24-'Cy11_2020_44Dists_02-07'!M24</f>
        <v>2415</v>
      </c>
      <c r="N24" s="24">
        <f>'Cy11_2045_44Dists_02-07'!N24-'Cy11_2020_44Dists_02-07'!N24</f>
        <v>2079</v>
      </c>
      <c r="O24" s="34">
        <f>'Cy11_2045_44Dists_02-07'!O24-'Cy11_2020_44Dists_02-07'!O24</f>
        <v>-8.7136467601141909E-2</v>
      </c>
    </row>
    <row r="25" spans="2:15" ht="15" customHeight="1">
      <c r="B25" s="16">
        <v>18</v>
      </c>
      <c r="C25" s="17" t="s">
        <v>40</v>
      </c>
      <c r="E25" s="23">
        <f>'Cy11_2045_44Dists_02-07'!E25-'Cy11_2020_44Dists_02-07'!E25</f>
        <v>1417</v>
      </c>
      <c r="F25" s="24">
        <f>'Cy11_2045_44Dists_02-07'!F25-'Cy11_2020_44Dists_02-07'!F25</f>
        <v>-207</v>
      </c>
      <c r="G25" s="24">
        <f>'Cy11_2045_44Dists_02-07'!G25-'Cy11_2020_44Dists_02-07'!G25</f>
        <v>225</v>
      </c>
      <c r="H25" s="24">
        <f>'Cy11_2045_44Dists_02-07'!H25-'Cy11_2020_44Dists_02-07'!H25</f>
        <v>1443</v>
      </c>
      <c r="I25" s="25">
        <f>'Cy11_2045_44Dists_02-07'!I25-'Cy11_2020_44Dists_02-07'!I25</f>
        <v>-44</v>
      </c>
      <c r="K25" s="48">
        <f>'Cy11_2045_44Dists_02-07'!K25-'Cy11_2020_44Dists_02-07'!K25</f>
        <v>4239</v>
      </c>
      <c r="L25" s="24">
        <f>'Cy11_2045_44Dists_02-07'!L25-'Cy11_2020_44Dists_02-07'!L25</f>
        <v>0</v>
      </c>
      <c r="M25" s="24">
        <f>'Cy11_2045_44Dists_02-07'!M25-'Cy11_2020_44Dists_02-07'!M25</f>
        <v>4239</v>
      </c>
      <c r="N25" s="24">
        <f>'Cy11_2045_44Dists_02-07'!N25-'Cy11_2020_44Dists_02-07'!N25</f>
        <v>2184</v>
      </c>
      <c r="O25" s="34">
        <f>'Cy11_2045_44Dists_02-07'!O25-'Cy11_2020_44Dists_02-07'!O25</f>
        <v>-8.3497060544821533E-2</v>
      </c>
    </row>
    <row r="26" spans="2:15" ht="15" customHeight="1">
      <c r="B26" s="16">
        <v>19</v>
      </c>
      <c r="C26" s="17" t="s">
        <v>41</v>
      </c>
      <c r="E26" s="23">
        <f>'Cy11_2045_44Dists_02-07'!E26-'Cy11_2020_44Dists_02-07'!E26</f>
        <v>887</v>
      </c>
      <c r="F26" s="24">
        <f>'Cy11_2045_44Dists_02-07'!F26-'Cy11_2020_44Dists_02-07'!F26</f>
        <v>-166</v>
      </c>
      <c r="G26" s="24">
        <f>'Cy11_2045_44Dists_02-07'!G26-'Cy11_2020_44Dists_02-07'!G26</f>
        <v>-286</v>
      </c>
      <c r="H26" s="24">
        <f>'Cy11_2045_44Dists_02-07'!H26-'Cy11_2020_44Dists_02-07'!H26</f>
        <v>1505</v>
      </c>
      <c r="I26" s="25">
        <f>'Cy11_2045_44Dists_02-07'!I26-'Cy11_2020_44Dists_02-07'!I26</f>
        <v>-166</v>
      </c>
      <c r="K26" s="48">
        <f>'Cy11_2045_44Dists_02-07'!K26-'Cy11_2020_44Dists_02-07'!K26</f>
        <v>2889</v>
      </c>
      <c r="L26" s="24">
        <f>'Cy11_2045_44Dists_02-07'!L26-'Cy11_2020_44Dists_02-07'!L26</f>
        <v>0</v>
      </c>
      <c r="M26" s="24">
        <f>'Cy11_2045_44Dists_02-07'!M26-'Cy11_2020_44Dists_02-07'!M26</f>
        <v>2889</v>
      </c>
      <c r="N26" s="24">
        <f>'Cy11_2045_44Dists_02-07'!N26-'Cy11_2020_44Dists_02-07'!N26</f>
        <v>1749</v>
      </c>
      <c r="O26" s="34">
        <f>'Cy11_2045_44Dists_02-07'!O26-'Cy11_2020_44Dists_02-07'!O26</f>
        <v>-5.14073362945906E-2</v>
      </c>
    </row>
    <row r="27" spans="2:15" ht="15" customHeight="1">
      <c r="B27" s="16">
        <v>20</v>
      </c>
      <c r="C27" s="17" t="s">
        <v>42</v>
      </c>
      <c r="E27" s="23">
        <f>'Cy11_2045_44Dists_02-07'!E27-'Cy11_2020_44Dists_02-07'!E27</f>
        <v>1010</v>
      </c>
      <c r="F27" s="24">
        <f>'Cy11_2045_44Dists_02-07'!F27-'Cy11_2020_44Dists_02-07'!F27</f>
        <v>-437</v>
      </c>
      <c r="G27" s="24">
        <f>'Cy11_2045_44Dists_02-07'!G27-'Cy11_2020_44Dists_02-07'!G27</f>
        <v>-52</v>
      </c>
      <c r="H27" s="24">
        <f>'Cy11_2045_44Dists_02-07'!H27-'Cy11_2020_44Dists_02-07'!H27</f>
        <v>1339</v>
      </c>
      <c r="I27" s="25">
        <f>'Cy11_2045_44Dists_02-07'!I27-'Cy11_2020_44Dists_02-07'!I27</f>
        <v>160</v>
      </c>
      <c r="K27" s="48">
        <f>'Cy11_2045_44Dists_02-07'!K27-'Cy11_2020_44Dists_02-07'!K27</f>
        <v>2197</v>
      </c>
      <c r="L27" s="24">
        <f>'Cy11_2045_44Dists_02-07'!L27-'Cy11_2020_44Dists_02-07'!L27</f>
        <v>0</v>
      </c>
      <c r="M27" s="24">
        <f>'Cy11_2045_44Dists_02-07'!M27-'Cy11_2020_44Dists_02-07'!M27</f>
        <v>2197</v>
      </c>
      <c r="N27" s="24">
        <f>'Cy11_2045_44Dists_02-07'!N27-'Cy11_2020_44Dists_02-07'!N27</f>
        <v>2080</v>
      </c>
      <c r="O27" s="34">
        <f>'Cy11_2045_44Dists_02-07'!O27-'Cy11_2020_44Dists_02-07'!O27</f>
        <v>-7.2151751769135464E-2</v>
      </c>
    </row>
    <row r="28" spans="2:15" ht="15" customHeight="1">
      <c r="B28" s="16">
        <v>21</v>
      </c>
      <c r="C28" s="17" t="s">
        <v>43</v>
      </c>
      <c r="E28" s="23">
        <f>'Cy11_2045_44Dists_02-07'!E28-'Cy11_2020_44Dists_02-07'!E28</f>
        <v>314</v>
      </c>
      <c r="F28" s="24">
        <f>'Cy11_2045_44Dists_02-07'!F28-'Cy11_2020_44Dists_02-07'!F28</f>
        <v>-725</v>
      </c>
      <c r="G28" s="24">
        <f>'Cy11_2045_44Dists_02-07'!G28-'Cy11_2020_44Dists_02-07'!G28</f>
        <v>101</v>
      </c>
      <c r="H28" s="24">
        <f>'Cy11_2045_44Dists_02-07'!H28-'Cy11_2020_44Dists_02-07'!H28</f>
        <v>561</v>
      </c>
      <c r="I28" s="25">
        <f>'Cy11_2045_44Dists_02-07'!I28-'Cy11_2020_44Dists_02-07'!I28</f>
        <v>377</v>
      </c>
      <c r="K28" s="48">
        <f>'Cy11_2045_44Dists_02-07'!K28-'Cy11_2020_44Dists_02-07'!K28</f>
        <v>1640</v>
      </c>
      <c r="L28" s="24">
        <f>'Cy11_2045_44Dists_02-07'!L28-'Cy11_2020_44Dists_02-07'!L28</f>
        <v>0</v>
      </c>
      <c r="M28" s="24">
        <f>'Cy11_2045_44Dists_02-07'!M28-'Cy11_2020_44Dists_02-07'!M28</f>
        <v>1640</v>
      </c>
      <c r="N28" s="24">
        <f>'Cy11_2045_44Dists_02-07'!N28-'Cy11_2020_44Dists_02-07'!N28</f>
        <v>685</v>
      </c>
      <c r="O28" s="34">
        <f>'Cy11_2045_44Dists_02-07'!O28-'Cy11_2020_44Dists_02-07'!O28</f>
        <v>1.2305349547188094E-2</v>
      </c>
    </row>
    <row r="29" spans="2:15" ht="15" customHeight="1">
      <c r="B29" s="16">
        <v>22</v>
      </c>
      <c r="C29" s="17" t="s">
        <v>44</v>
      </c>
      <c r="E29" s="23">
        <f>'Cy11_2045_44Dists_02-07'!E29-'Cy11_2020_44Dists_02-07'!E29</f>
        <v>614</v>
      </c>
      <c r="F29" s="24">
        <f>'Cy11_2045_44Dists_02-07'!F29-'Cy11_2020_44Dists_02-07'!F29</f>
        <v>-105</v>
      </c>
      <c r="G29" s="24">
        <f>'Cy11_2045_44Dists_02-07'!G29-'Cy11_2020_44Dists_02-07'!G29</f>
        <v>10</v>
      </c>
      <c r="H29" s="24">
        <f>'Cy11_2045_44Dists_02-07'!H29-'Cy11_2020_44Dists_02-07'!H29</f>
        <v>670</v>
      </c>
      <c r="I29" s="25">
        <f>'Cy11_2045_44Dists_02-07'!I29-'Cy11_2020_44Dists_02-07'!I29</f>
        <v>39</v>
      </c>
      <c r="K29" s="48">
        <f>'Cy11_2045_44Dists_02-07'!K29-'Cy11_2020_44Dists_02-07'!K29</f>
        <v>783</v>
      </c>
      <c r="L29" s="24">
        <f>'Cy11_2045_44Dists_02-07'!L29-'Cy11_2020_44Dists_02-07'!L29</f>
        <v>0</v>
      </c>
      <c r="M29" s="24">
        <f>'Cy11_2045_44Dists_02-07'!M29-'Cy11_2020_44Dists_02-07'!M29</f>
        <v>783</v>
      </c>
      <c r="N29" s="24">
        <f>'Cy11_2045_44Dists_02-07'!N29-'Cy11_2020_44Dists_02-07'!N29</f>
        <v>1180</v>
      </c>
      <c r="O29" s="34">
        <f>'Cy11_2045_44Dists_02-07'!O29-'Cy11_2020_44Dists_02-07'!O29</f>
        <v>-0.12334797466024483</v>
      </c>
    </row>
    <row r="30" spans="2:15" ht="15" customHeight="1">
      <c r="B30" s="16">
        <v>23</v>
      </c>
      <c r="C30" s="17" t="s">
        <v>45</v>
      </c>
      <c r="E30" s="23">
        <f>'Cy11_2045_44Dists_02-07'!E30-'Cy11_2020_44Dists_02-07'!E30</f>
        <v>114</v>
      </c>
      <c r="F30" s="24">
        <f>'Cy11_2045_44Dists_02-07'!F30-'Cy11_2020_44Dists_02-07'!F30</f>
        <v>-85</v>
      </c>
      <c r="G30" s="24">
        <f>'Cy11_2045_44Dists_02-07'!G30-'Cy11_2020_44Dists_02-07'!G30</f>
        <v>9</v>
      </c>
      <c r="H30" s="24">
        <f>'Cy11_2045_44Dists_02-07'!H30-'Cy11_2020_44Dists_02-07'!H30</f>
        <v>198</v>
      </c>
      <c r="I30" s="25">
        <f>'Cy11_2045_44Dists_02-07'!I30-'Cy11_2020_44Dists_02-07'!I30</f>
        <v>-8</v>
      </c>
      <c r="K30" s="48">
        <f>'Cy11_2045_44Dists_02-07'!K30-'Cy11_2020_44Dists_02-07'!K30</f>
        <v>455</v>
      </c>
      <c r="L30" s="24">
        <f>'Cy11_2045_44Dists_02-07'!L30-'Cy11_2020_44Dists_02-07'!L30</f>
        <v>0</v>
      </c>
      <c r="M30" s="24">
        <f>'Cy11_2045_44Dists_02-07'!M30-'Cy11_2020_44Dists_02-07'!M30</f>
        <v>455</v>
      </c>
      <c r="N30" s="24">
        <f>'Cy11_2045_44Dists_02-07'!N30-'Cy11_2020_44Dists_02-07'!N30</f>
        <v>443</v>
      </c>
      <c r="O30" s="34">
        <f>'Cy11_2045_44Dists_02-07'!O30-'Cy11_2020_44Dists_02-07'!O30</f>
        <v>-8.4344918191487928E-2</v>
      </c>
    </row>
    <row r="31" spans="2:15" ht="15" customHeight="1">
      <c r="B31" s="16">
        <v>24</v>
      </c>
      <c r="C31" s="17" t="s">
        <v>46</v>
      </c>
      <c r="E31" s="23">
        <f>'Cy11_2045_44Dists_02-07'!E31-'Cy11_2020_44Dists_02-07'!E31</f>
        <v>548</v>
      </c>
      <c r="F31" s="24">
        <f>'Cy11_2045_44Dists_02-07'!F31-'Cy11_2020_44Dists_02-07'!F31</f>
        <v>-50</v>
      </c>
      <c r="G31" s="24">
        <f>'Cy11_2045_44Dists_02-07'!G31-'Cy11_2020_44Dists_02-07'!G31</f>
        <v>61</v>
      </c>
      <c r="H31" s="24">
        <f>'Cy11_2045_44Dists_02-07'!H31-'Cy11_2020_44Dists_02-07'!H31</f>
        <v>552</v>
      </c>
      <c r="I31" s="25">
        <f>'Cy11_2045_44Dists_02-07'!I31-'Cy11_2020_44Dists_02-07'!I31</f>
        <v>-15</v>
      </c>
      <c r="K31" s="48">
        <f>'Cy11_2045_44Dists_02-07'!K31-'Cy11_2020_44Dists_02-07'!K31</f>
        <v>1385</v>
      </c>
      <c r="L31" s="24">
        <f>'Cy11_2045_44Dists_02-07'!L31-'Cy11_2020_44Dists_02-07'!L31</f>
        <v>0</v>
      </c>
      <c r="M31" s="24">
        <f>'Cy11_2045_44Dists_02-07'!M31-'Cy11_2020_44Dists_02-07'!M31</f>
        <v>1385</v>
      </c>
      <c r="N31" s="24">
        <f>'Cy11_2045_44Dists_02-07'!N31-'Cy11_2020_44Dists_02-07'!N31</f>
        <v>906</v>
      </c>
      <c r="O31" s="34">
        <f>'Cy11_2045_44Dists_02-07'!O31-'Cy11_2020_44Dists_02-07'!O31</f>
        <v>-8.6712651581409173E-2</v>
      </c>
    </row>
    <row r="32" spans="2:15" ht="15" customHeight="1">
      <c r="B32" s="16">
        <v>25</v>
      </c>
      <c r="C32" s="17" t="s">
        <v>47</v>
      </c>
      <c r="E32" s="23">
        <f>'Cy11_2045_44Dists_02-07'!E32-'Cy11_2020_44Dists_02-07'!E32</f>
        <v>890</v>
      </c>
      <c r="F32" s="24">
        <f>'Cy11_2045_44Dists_02-07'!F32-'Cy11_2020_44Dists_02-07'!F32</f>
        <v>-76</v>
      </c>
      <c r="G32" s="24">
        <f>'Cy11_2045_44Dists_02-07'!G32-'Cy11_2020_44Dists_02-07'!G32</f>
        <v>94</v>
      </c>
      <c r="H32" s="24">
        <f>'Cy11_2045_44Dists_02-07'!H32-'Cy11_2020_44Dists_02-07'!H32</f>
        <v>810</v>
      </c>
      <c r="I32" s="25">
        <f>'Cy11_2045_44Dists_02-07'!I32-'Cy11_2020_44Dists_02-07'!I32</f>
        <v>62</v>
      </c>
      <c r="K32" s="48">
        <f>'Cy11_2045_44Dists_02-07'!K32-'Cy11_2020_44Dists_02-07'!K32</f>
        <v>2082</v>
      </c>
      <c r="L32" s="24">
        <f>'Cy11_2045_44Dists_02-07'!L32-'Cy11_2020_44Dists_02-07'!L32</f>
        <v>0</v>
      </c>
      <c r="M32" s="24">
        <f>'Cy11_2045_44Dists_02-07'!M32-'Cy11_2020_44Dists_02-07'!M32</f>
        <v>2082</v>
      </c>
      <c r="N32" s="24">
        <f>'Cy11_2045_44Dists_02-07'!N32-'Cy11_2020_44Dists_02-07'!N32</f>
        <v>944</v>
      </c>
      <c r="O32" s="34">
        <f>'Cy11_2045_44Dists_02-07'!O32-'Cy11_2020_44Dists_02-07'!O32</f>
        <v>-5.5224560937485734E-3</v>
      </c>
    </row>
    <row r="33" spans="2:15" ht="15" customHeight="1">
      <c r="B33" s="16">
        <v>26</v>
      </c>
      <c r="C33" s="17" t="s">
        <v>48</v>
      </c>
      <c r="E33" s="23">
        <f>'Cy11_2045_44Dists_02-07'!E33-'Cy11_2020_44Dists_02-07'!E33</f>
        <v>2949</v>
      </c>
      <c r="F33" s="24">
        <f>'Cy11_2045_44Dists_02-07'!F33-'Cy11_2020_44Dists_02-07'!F33</f>
        <v>-399</v>
      </c>
      <c r="G33" s="24">
        <f>'Cy11_2045_44Dists_02-07'!G33-'Cy11_2020_44Dists_02-07'!G33</f>
        <v>651</v>
      </c>
      <c r="H33" s="24">
        <f>'Cy11_2045_44Dists_02-07'!H33-'Cy11_2020_44Dists_02-07'!H33</f>
        <v>2765</v>
      </c>
      <c r="I33" s="25">
        <f>'Cy11_2045_44Dists_02-07'!I33-'Cy11_2020_44Dists_02-07'!I33</f>
        <v>-68</v>
      </c>
      <c r="K33" s="48">
        <f>'Cy11_2045_44Dists_02-07'!K33-'Cy11_2020_44Dists_02-07'!K33</f>
        <v>6200</v>
      </c>
      <c r="L33" s="24">
        <f>'Cy11_2045_44Dists_02-07'!L33-'Cy11_2020_44Dists_02-07'!L33</f>
        <v>0</v>
      </c>
      <c r="M33" s="24">
        <f>'Cy11_2045_44Dists_02-07'!M33-'Cy11_2020_44Dists_02-07'!M33</f>
        <v>6200</v>
      </c>
      <c r="N33" s="24">
        <f>'Cy11_2045_44Dists_02-07'!N33-'Cy11_2020_44Dists_02-07'!N33</f>
        <v>2597</v>
      </c>
      <c r="O33" s="34">
        <f>'Cy11_2045_44Dists_02-07'!O33-'Cy11_2020_44Dists_02-07'!O33</f>
        <v>4.5931462638479914E-3</v>
      </c>
    </row>
    <row r="34" spans="2:15" ht="15" customHeight="1">
      <c r="B34" s="16">
        <v>27</v>
      </c>
      <c r="C34" s="17" t="s">
        <v>49</v>
      </c>
      <c r="E34" s="23">
        <f>'Cy11_2045_44Dists_02-07'!E34-'Cy11_2020_44Dists_02-07'!E34</f>
        <v>2770</v>
      </c>
      <c r="F34" s="24">
        <f>'Cy11_2045_44Dists_02-07'!F34-'Cy11_2020_44Dists_02-07'!F34</f>
        <v>-81</v>
      </c>
      <c r="G34" s="24">
        <f>'Cy11_2045_44Dists_02-07'!G34-'Cy11_2020_44Dists_02-07'!G34</f>
        <v>168</v>
      </c>
      <c r="H34" s="24">
        <f>'Cy11_2045_44Dists_02-07'!H34-'Cy11_2020_44Dists_02-07'!H34</f>
        <v>2678</v>
      </c>
      <c r="I34" s="25">
        <f>'Cy11_2045_44Dists_02-07'!I34-'Cy11_2020_44Dists_02-07'!I34</f>
        <v>5</v>
      </c>
      <c r="K34" s="48">
        <f>'Cy11_2045_44Dists_02-07'!K34-'Cy11_2020_44Dists_02-07'!K34</f>
        <v>5049</v>
      </c>
      <c r="L34" s="24">
        <f>'Cy11_2045_44Dists_02-07'!L34-'Cy11_2020_44Dists_02-07'!L34</f>
        <v>0</v>
      </c>
      <c r="M34" s="24">
        <f>'Cy11_2045_44Dists_02-07'!M34-'Cy11_2020_44Dists_02-07'!M34</f>
        <v>5049</v>
      </c>
      <c r="N34" s="24">
        <f>'Cy11_2045_44Dists_02-07'!N34-'Cy11_2020_44Dists_02-07'!N34</f>
        <v>2410</v>
      </c>
      <c r="O34" s="34">
        <f>'Cy11_2045_44Dists_02-07'!O34-'Cy11_2020_44Dists_02-07'!O34</f>
        <v>-4.7180792714679232E-2</v>
      </c>
    </row>
    <row r="35" spans="2:15" ht="15" customHeight="1">
      <c r="B35" s="16">
        <v>28</v>
      </c>
      <c r="C35" s="17" t="s">
        <v>50</v>
      </c>
      <c r="E35" s="23">
        <f>'Cy11_2045_44Dists_02-07'!E35-'Cy11_2020_44Dists_02-07'!E35</f>
        <v>16983</v>
      </c>
      <c r="F35" s="24">
        <f>'Cy11_2045_44Dists_02-07'!F35-'Cy11_2020_44Dists_02-07'!F35</f>
        <v>-851</v>
      </c>
      <c r="G35" s="24">
        <f>'Cy11_2045_44Dists_02-07'!G35-'Cy11_2020_44Dists_02-07'!G35</f>
        <v>1488</v>
      </c>
      <c r="H35" s="24">
        <f>'Cy11_2045_44Dists_02-07'!H35-'Cy11_2020_44Dists_02-07'!H35</f>
        <v>15292</v>
      </c>
      <c r="I35" s="25">
        <f>'Cy11_2045_44Dists_02-07'!I35-'Cy11_2020_44Dists_02-07'!I35</f>
        <v>1054</v>
      </c>
      <c r="K35" s="48">
        <f>'Cy11_2045_44Dists_02-07'!K35-'Cy11_2020_44Dists_02-07'!K35</f>
        <v>33626</v>
      </c>
      <c r="L35" s="24">
        <f>'Cy11_2045_44Dists_02-07'!L35-'Cy11_2020_44Dists_02-07'!L35</f>
        <v>0</v>
      </c>
      <c r="M35" s="24">
        <f>'Cy11_2045_44Dists_02-07'!M35-'Cy11_2020_44Dists_02-07'!M35</f>
        <v>33626</v>
      </c>
      <c r="N35" s="24">
        <f>'Cy11_2045_44Dists_02-07'!N35-'Cy11_2020_44Dists_02-07'!N35</f>
        <v>14928</v>
      </c>
      <c r="O35" s="34">
        <f>'Cy11_2045_44Dists_02-07'!O35-'Cy11_2020_44Dists_02-07'!O35</f>
        <v>-1.4625286379021052E-2</v>
      </c>
    </row>
    <row r="36" spans="2:15" ht="15" customHeight="1">
      <c r="B36" s="16">
        <v>29</v>
      </c>
      <c r="C36" s="17" t="s">
        <v>51</v>
      </c>
      <c r="E36" s="23">
        <f>'Cy11_2045_44Dists_02-07'!E36-'Cy11_2020_44Dists_02-07'!E36</f>
        <v>45</v>
      </c>
      <c r="F36" s="24">
        <f>'Cy11_2045_44Dists_02-07'!F36-'Cy11_2020_44Dists_02-07'!F36</f>
        <v>-458</v>
      </c>
      <c r="G36" s="24">
        <f>'Cy11_2045_44Dists_02-07'!G36-'Cy11_2020_44Dists_02-07'!G36</f>
        <v>-178</v>
      </c>
      <c r="H36" s="24">
        <f>'Cy11_2045_44Dists_02-07'!H36-'Cy11_2020_44Dists_02-07'!H36</f>
        <v>885</v>
      </c>
      <c r="I36" s="25">
        <f>'Cy11_2045_44Dists_02-07'!I36-'Cy11_2020_44Dists_02-07'!I36</f>
        <v>-204</v>
      </c>
      <c r="K36" s="48">
        <f>'Cy11_2045_44Dists_02-07'!K36-'Cy11_2020_44Dists_02-07'!K36</f>
        <v>-747</v>
      </c>
      <c r="L36" s="24">
        <f>'Cy11_2045_44Dists_02-07'!L36-'Cy11_2020_44Dists_02-07'!L36</f>
        <v>0</v>
      </c>
      <c r="M36" s="24">
        <f>'Cy11_2045_44Dists_02-07'!M36-'Cy11_2020_44Dists_02-07'!M36</f>
        <v>-747</v>
      </c>
      <c r="N36" s="24">
        <f>'Cy11_2045_44Dists_02-07'!N36-'Cy11_2020_44Dists_02-07'!N36</f>
        <v>137</v>
      </c>
      <c r="O36" s="34">
        <f>'Cy11_2045_44Dists_02-07'!O36-'Cy11_2020_44Dists_02-07'!O36</f>
        <v>-5.4442633640720217E-2</v>
      </c>
    </row>
    <row r="37" spans="2:15" ht="15" customHeight="1">
      <c r="B37" s="16">
        <v>30</v>
      </c>
      <c r="C37" s="17" t="s">
        <v>52</v>
      </c>
      <c r="E37" s="23">
        <f>'Cy11_2045_44Dists_02-07'!E37-'Cy11_2020_44Dists_02-07'!E37</f>
        <v>470</v>
      </c>
      <c r="F37" s="24">
        <f>'Cy11_2045_44Dists_02-07'!F37-'Cy11_2020_44Dists_02-07'!F37</f>
        <v>-39</v>
      </c>
      <c r="G37" s="24">
        <f>'Cy11_2045_44Dists_02-07'!G37-'Cy11_2020_44Dists_02-07'!G37</f>
        <v>11</v>
      </c>
      <c r="H37" s="24">
        <f>'Cy11_2045_44Dists_02-07'!H37-'Cy11_2020_44Dists_02-07'!H37</f>
        <v>575</v>
      </c>
      <c r="I37" s="25">
        <f>'Cy11_2045_44Dists_02-07'!I37-'Cy11_2020_44Dists_02-07'!I37</f>
        <v>-77</v>
      </c>
      <c r="K37" s="48">
        <f>'Cy11_2045_44Dists_02-07'!K37-'Cy11_2020_44Dists_02-07'!K37</f>
        <v>81</v>
      </c>
      <c r="L37" s="24">
        <f>'Cy11_2045_44Dists_02-07'!L37-'Cy11_2020_44Dists_02-07'!L37</f>
        <v>0</v>
      </c>
      <c r="M37" s="24">
        <f>'Cy11_2045_44Dists_02-07'!M37-'Cy11_2020_44Dists_02-07'!M37</f>
        <v>81</v>
      </c>
      <c r="N37" s="24">
        <f>'Cy11_2045_44Dists_02-07'!N37-'Cy11_2020_44Dists_02-07'!N37</f>
        <v>182</v>
      </c>
      <c r="O37" s="34">
        <f>'Cy11_2045_44Dists_02-07'!O37-'Cy11_2020_44Dists_02-07'!O37</f>
        <v>-4.385071652117567E-2</v>
      </c>
    </row>
    <row r="38" spans="2:15" ht="15" customHeight="1">
      <c r="B38" s="16">
        <v>31</v>
      </c>
      <c r="C38" s="17" t="s">
        <v>53</v>
      </c>
      <c r="E38" s="23">
        <f>'Cy11_2045_44Dists_02-07'!E38-'Cy11_2020_44Dists_02-07'!E38</f>
        <v>1131</v>
      </c>
      <c r="F38" s="24">
        <f>'Cy11_2045_44Dists_02-07'!F38-'Cy11_2020_44Dists_02-07'!F38</f>
        <v>248</v>
      </c>
      <c r="G38" s="24">
        <f>'Cy11_2045_44Dists_02-07'!G38-'Cy11_2020_44Dists_02-07'!G38</f>
        <v>-55</v>
      </c>
      <c r="H38" s="24">
        <f>'Cy11_2045_44Dists_02-07'!H38-'Cy11_2020_44Dists_02-07'!H38</f>
        <v>1180</v>
      </c>
      <c r="I38" s="25">
        <f>'Cy11_2045_44Dists_02-07'!I38-'Cy11_2020_44Dists_02-07'!I38</f>
        <v>-242</v>
      </c>
      <c r="K38" s="48">
        <f>'Cy11_2045_44Dists_02-07'!K38-'Cy11_2020_44Dists_02-07'!K38</f>
        <v>3531</v>
      </c>
      <c r="L38" s="24">
        <f>'Cy11_2045_44Dists_02-07'!L38-'Cy11_2020_44Dists_02-07'!L38</f>
        <v>0</v>
      </c>
      <c r="M38" s="24">
        <f>'Cy11_2045_44Dists_02-07'!M38-'Cy11_2020_44Dists_02-07'!M38</f>
        <v>3531</v>
      </c>
      <c r="N38" s="24">
        <f>'Cy11_2045_44Dists_02-07'!N38-'Cy11_2020_44Dists_02-07'!N38</f>
        <v>1803</v>
      </c>
      <c r="O38" s="34">
        <f>'Cy11_2045_44Dists_02-07'!O38-'Cy11_2020_44Dists_02-07'!O38</f>
        <v>-3.7532742675598474E-2</v>
      </c>
    </row>
    <row r="39" spans="2:15" ht="15" customHeight="1">
      <c r="B39" s="16">
        <v>32</v>
      </c>
      <c r="C39" s="17" t="s">
        <v>54</v>
      </c>
      <c r="E39" s="23">
        <f>'Cy11_2045_44Dists_02-07'!E39-'Cy11_2020_44Dists_02-07'!E39</f>
        <v>451</v>
      </c>
      <c r="F39" s="24">
        <f>'Cy11_2045_44Dists_02-07'!F39-'Cy11_2020_44Dists_02-07'!F39</f>
        <v>-1880</v>
      </c>
      <c r="G39" s="24">
        <f>'Cy11_2045_44Dists_02-07'!G39-'Cy11_2020_44Dists_02-07'!G39</f>
        <v>-45</v>
      </c>
      <c r="H39" s="24">
        <f>'Cy11_2045_44Dists_02-07'!H39-'Cy11_2020_44Dists_02-07'!H39</f>
        <v>2800</v>
      </c>
      <c r="I39" s="25">
        <f>'Cy11_2045_44Dists_02-07'!I39-'Cy11_2020_44Dists_02-07'!I39</f>
        <v>-424</v>
      </c>
      <c r="K39" s="48">
        <f>'Cy11_2045_44Dists_02-07'!K39-'Cy11_2020_44Dists_02-07'!K39</f>
        <v>11496</v>
      </c>
      <c r="L39" s="24">
        <f>'Cy11_2045_44Dists_02-07'!L39-'Cy11_2020_44Dists_02-07'!L39</f>
        <v>0</v>
      </c>
      <c r="M39" s="24">
        <f>'Cy11_2045_44Dists_02-07'!M39-'Cy11_2020_44Dists_02-07'!M39</f>
        <v>11496</v>
      </c>
      <c r="N39" s="24">
        <f>'Cy11_2045_44Dists_02-07'!N39-'Cy11_2020_44Dists_02-07'!N39</f>
        <v>6182</v>
      </c>
      <c r="O39" s="34">
        <f>'Cy11_2045_44Dists_02-07'!O39-'Cy11_2020_44Dists_02-07'!O39</f>
        <v>-5.6001265735433403E-2</v>
      </c>
    </row>
    <row r="40" spans="2:15" ht="15" customHeight="1">
      <c r="B40" s="16">
        <v>33</v>
      </c>
      <c r="C40" s="17" t="s">
        <v>55</v>
      </c>
      <c r="E40" s="23">
        <f>'Cy11_2045_44Dists_02-07'!E40-'Cy11_2020_44Dists_02-07'!E40</f>
        <v>5999</v>
      </c>
      <c r="F40" s="24">
        <f>'Cy11_2045_44Dists_02-07'!F40-'Cy11_2020_44Dists_02-07'!F40</f>
        <v>-3242</v>
      </c>
      <c r="G40" s="24">
        <f>'Cy11_2045_44Dists_02-07'!G40-'Cy11_2020_44Dists_02-07'!G40</f>
        <v>885</v>
      </c>
      <c r="H40" s="24">
        <f>'Cy11_2045_44Dists_02-07'!H40-'Cy11_2020_44Dists_02-07'!H40</f>
        <v>9017</v>
      </c>
      <c r="I40" s="25">
        <f>'Cy11_2045_44Dists_02-07'!I40-'Cy11_2020_44Dists_02-07'!I40</f>
        <v>-661</v>
      </c>
      <c r="K40" s="48">
        <f>'Cy11_2045_44Dists_02-07'!K40-'Cy11_2020_44Dists_02-07'!K40</f>
        <v>32540</v>
      </c>
      <c r="L40" s="24">
        <f>'Cy11_2045_44Dists_02-07'!L40-'Cy11_2020_44Dists_02-07'!L40</f>
        <v>0</v>
      </c>
      <c r="M40" s="24">
        <f>'Cy11_2045_44Dists_02-07'!M40-'Cy11_2020_44Dists_02-07'!M40</f>
        <v>32540</v>
      </c>
      <c r="N40" s="24">
        <f>'Cy11_2045_44Dists_02-07'!N40-'Cy11_2020_44Dists_02-07'!N40</f>
        <v>16771</v>
      </c>
      <c r="O40" s="34">
        <f>'Cy11_2045_44Dists_02-07'!O40-'Cy11_2020_44Dists_02-07'!O40</f>
        <v>-8.3256721667357425E-2</v>
      </c>
    </row>
    <row r="41" spans="2:15" ht="15" customHeight="1">
      <c r="B41" s="16">
        <v>34</v>
      </c>
      <c r="C41" s="17" t="s">
        <v>56</v>
      </c>
      <c r="E41" s="23">
        <f>'Cy11_2045_44Dists_02-07'!E41-'Cy11_2020_44Dists_02-07'!E41</f>
        <v>1669</v>
      </c>
      <c r="F41" s="24">
        <f>'Cy11_2045_44Dists_02-07'!F41-'Cy11_2020_44Dists_02-07'!F41</f>
        <v>-913</v>
      </c>
      <c r="G41" s="24">
        <f>'Cy11_2045_44Dists_02-07'!G41-'Cy11_2020_44Dists_02-07'!G41</f>
        <v>-427</v>
      </c>
      <c r="H41" s="24">
        <f>'Cy11_2045_44Dists_02-07'!H41-'Cy11_2020_44Dists_02-07'!H41</f>
        <v>3277</v>
      </c>
      <c r="I41" s="25">
        <f>'Cy11_2045_44Dists_02-07'!I41-'Cy11_2020_44Dists_02-07'!I41</f>
        <v>-268</v>
      </c>
      <c r="K41" s="48">
        <f>'Cy11_2045_44Dists_02-07'!K41-'Cy11_2020_44Dists_02-07'!K41</f>
        <v>-690</v>
      </c>
      <c r="L41" s="24">
        <f>'Cy11_2045_44Dists_02-07'!L41-'Cy11_2020_44Dists_02-07'!L41</f>
        <v>0</v>
      </c>
      <c r="M41" s="24">
        <f>'Cy11_2045_44Dists_02-07'!M41-'Cy11_2020_44Dists_02-07'!M41</f>
        <v>-690</v>
      </c>
      <c r="N41" s="24">
        <f>'Cy11_2045_44Dists_02-07'!N41-'Cy11_2020_44Dists_02-07'!N41</f>
        <v>288</v>
      </c>
      <c r="O41" s="34">
        <f>'Cy11_2045_44Dists_02-07'!O41-'Cy11_2020_44Dists_02-07'!O41</f>
        <v>-2.6584650269099619E-2</v>
      </c>
    </row>
    <row r="42" spans="2:15" ht="15" customHeight="1">
      <c r="B42" s="16">
        <v>35</v>
      </c>
      <c r="C42" s="17" t="s">
        <v>57</v>
      </c>
      <c r="E42" s="23">
        <f>'Cy11_2045_44Dists_02-07'!E42-'Cy11_2020_44Dists_02-07'!E42</f>
        <v>426</v>
      </c>
      <c r="F42" s="24">
        <f>'Cy11_2045_44Dists_02-07'!F42-'Cy11_2020_44Dists_02-07'!F42</f>
        <v>-96</v>
      </c>
      <c r="G42" s="24">
        <f>'Cy11_2045_44Dists_02-07'!G42-'Cy11_2020_44Dists_02-07'!G42</f>
        <v>-77</v>
      </c>
      <c r="H42" s="24">
        <f>'Cy11_2045_44Dists_02-07'!H42-'Cy11_2020_44Dists_02-07'!H42</f>
        <v>836</v>
      </c>
      <c r="I42" s="25">
        <f>'Cy11_2045_44Dists_02-07'!I42-'Cy11_2020_44Dists_02-07'!I42</f>
        <v>-237</v>
      </c>
      <c r="K42" s="48">
        <f>'Cy11_2045_44Dists_02-07'!K42-'Cy11_2020_44Dists_02-07'!K42</f>
        <v>1157</v>
      </c>
      <c r="L42" s="24">
        <f>'Cy11_2045_44Dists_02-07'!L42-'Cy11_2020_44Dists_02-07'!L42</f>
        <v>0</v>
      </c>
      <c r="M42" s="24">
        <f>'Cy11_2045_44Dists_02-07'!M42-'Cy11_2020_44Dists_02-07'!M42</f>
        <v>1157</v>
      </c>
      <c r="N42" s="24">
        <f>'Cy11_2045_44Dists_02-07'!N42-'Cy11_2020_44Dists_02-07'!N42</f>
        <v>1126</v>
      </c>
      <c r="O42" s="34">
        <f>'Cy11_2045_44Dists_02-07'!O42-'Cy11_2020_44Dists_02-07'!O42</f>
        <v>-9.4404073329738658E-2</v>
      </c>
    </row>
    <row r="43" spans="2:15" ht="15" customHeight="1">
      <c r="B43" s="16">
        <v>36</v>
      </c>
      <c r="C43" s="17" t="s">
        <v>58</v>
      </c>
      <c r="E43" s="23">
        <f>'Cy11_2045_44Dists_02-07'!E43-'Cy11_2020_44Dists_02-07'!E43</f>
        <v>3814</v>
      </c>
      <c r="F43" s="24">
        <f>'Cy11_2045_44Dists_02-07'!F43-'Cy11_2020_44Dists_02-07'!F43</f>
        <v>-583</v>
      </c>
      <c r="G43" s="24">
        <f>'Cy11_2045_44Dists_02-07'!G43-'Cy11_2020_44Dists_02-07'!G43</f>
        <v>178</v>
      </c>
      <c r="H43" s="24">
        <f>'Cy11_2045_44Dists_02-07'!H43-'Cy11_2020_44Dists_02-07'!H43</f>
        <v>2927</v>
      </c>
      <c r="I43" s="25">
        <f>'Cy11_2045_44Dists_02-07'!I43-'Cy11_2020_44Dists_02-07'!I43</f>
        <v>1292</v>
      </c>
      <c r="K43" s="48">
        <f>'Cy11_2045_44Dists_02-07'!K43-'Cy11_2020_44Dists_02-07'!K43</f>
        <v>8497</v>
      </c>
      <c r="L43" s="24">
        <f>'Cy11_2045_44Dists_02-07'!L43-'Cy11_2020_44Dists_02-07'!L43</f>
        <v>0</v>
      </c>
      <c r="M43" s="24">
        <f>'Cy11_2045_44Dists_02-07'!M43-'Cy11_2020_44Dists_02-07'!M43</f>
        <v>8497</v>
      </c>
      <c r="N43" s="24">
        <f>'Cy11_2045_44Dists_02-07'!N43-'Cy11_2020_44Dists_02-07'!N43</f>
        <v>4695</v>
      </c>
      <c r="O43" s="34">
        <f>'Cy11_2045_44Dists_02-07'!O43-'Cy11_2020_44Dists_02-07'!O43</f>
        <v>-7.0954658188193687E-2</v>
      </c>
    </row>
    <row r="44" spans="2:15" ht="15" customHeight="1">
      <c r="B44" s="16">
        <v>37</v>
      </c>
      <c r="C44" s="17" t="s">
        <v>59</v>
      </c>
      <c r="E44" s="23">
        <f>'Cy11_2045_44Dists_02-07'!E44-'Cy11_2020_44Dists_02-07'!E44</f>
        <v>1851</v>
      </c>
      <c r="F44" s="24">
        <f>'Cy11_2045_44Dists_02-07'!F44-'Cy11_2020_44Dists_02-07'!F44</f>
        <v>-859</v>
      </c>
      <c r="G44" s="24">
        <f>'Cy11_2045_44Dists_02-07'!G44-'Cy11_2020_44Dists_02-07'!G44</f>
        <v>-82</v>
      </c>
      <c r="H44" s="24">
        <f>'Cy11_2045_44Dists_02-07'!H44-'Cy11_2020_44Dists_02-07'!H44</f>
        <v>3287</v>
      </c>
      <c r="I44" s="25">
        <f>'Cy11_2045_44Dists_02-07'!I44-'Cy11_2020_44Dists_02-07'!I44</f>
        <v>-495</v>
      </c>
      <c r="K44" s="48">
        <f>'Cy11_2045_44Dists_02-07'!K44-'Cy11_2020_44Dists_02-07'!K44</f>
        <v>4648</v>
      </c>
      <c r="L44" s="24">
        <f>'Cy11_2045_44Dists_02-07'!L44-'Cy11_2020_44Dists_02-07'!L44</f>
        <v>0</v>
      </c>
      <c r="M44" s="24">
        <f>'Cy11_2045_44Dists_02-07'!M44-'Cy11_2020_44Dists_02-07'!M44</f>
        <v>4648</v>
      </c>
      <c r="N44" s="24">
        <f>'Cy11_2045_44Dists_02-07'!N44-'Cy11_2020_44Dists_02-07'!N44</f>
        <v>2959</v>
      </c>
      <c r="O44" s="34">
        <f>'Cy11_2045_44Dists_02-07'!O44-'Cy11_2020_44Dists_02-07'!O44</f>
        <v>-6.1879249076917553E-2</v>
      </c>
    </row>
    <row r="45" spans="2:15" ht="15" customHeight="1">
      <c r="B45" s="16">
        <v>38</v>
      </c>
      <c r="C45" s="17" t="s">
        <v>60</v>
      </c>
      <c r="E45" s="23">
        <f>'Cy11_2045_44Dists_02-07'!E45-'Cy11_2020_44Dists_02-07'!E45</f>
        <v>12145</v>
      </c>
      <c r="F45" s="24">
        <f>'Cy11_2045_44Dists_02-07'!F45-'Cy11_2020_44Dists_02-07'!F45</f>
        <v>-2073</v>
      </c>
      <c r="G45" s="24">
        <f>'Cy11_2045_44Dists_02-07'!G45-'Cy11_2020_44Dists_02-07'!G45</f>
        <v>990</v>
      </c>
      <c r="H45" s="24">
        <f>'Cy11_2045_44Dists_02-07'!H45-'Cy11_2020_44Dists_02-07'!H45</f>
        <v>11034</v>
      </c>
      <c r="I45" s="25">
        <f>'Cy11_2045_44Dists_02-07'!I45-'Cy11_2020_44Dists_02-07'!I45</f>
        <v>2194</v>
      </c>
      <c r="K45" s="48">
        <f>'Cy11_2045_44Dists_02-07'!K45-'Cy11_2020_44Dists_02-07'!K45</f>
        <v>32016</v>
      </c>
      <c r="L45" s="24">
        <f>'Cy11_2045_44Dists_02-07'!L45-'Cy11_2020_44Dists_02-07'!L45</f>
        <v>0</v>
      </c>
      <c r="M45" s="24">
        <f>'Cy11_2045_44Dists_02-07'!M45-'Cy11_2020_44Dists_02-07'!M45</f>
        <v>32016</v>
      </c>
      <c r="N45" s="24">
        <f>'Cy11_2045_44Dists_02-07'!N45-'Cy11_2020_44Dists_02-07'!N45</f>
        <v>14504</v>
      </c>
      <c r="O45" s="34">
        <f>'Cy11_2045_44Dists_02-07'!O45-'Cy11_2020_44Dists_02-07'!O45</f>
        <v>-3.1246951029784142E-2</v>
      </c>
    </row>
    <row r="46" spans="2:15" ht="15" customHeight="1">
      <c r="B46" s="16">
        <v>39</v>
      </c>
      <c r="C46" s="17" t="s">
        <v>61</v>
      </c>
      <c r="E46" s="23">
        <f>'Cy11_2045_44Dists_02-07'!E46-'Cy11_2020_44Dists_02-07'!E46</f>
        <v>7975</v>
      </c>
      <c r="F46" s="24">
        <f>'Cy11_2045_44Dists_02-07'!F46-'Cy11_2020_44Dists_02-07'!F46</f>
        <v>-4281</v>
      </c>
      <c r="G46" s="24">
        <f>'Cy11_2045_44Dists_02-07'!G46-'Cy11_2020_44Dists_02-07'!G46</f>
        <v>285</v>
      </c>
      <c r="H46" s="24">
        <f>'Cy11_2045_44Dists_02-07'!H46-'Cy11_2020_44Dists_02-07'!H46</f>
        <v>13432</v>
      </c>
      <c r="I46" s="25">
        <f>'Cy11_2045_44Dists_02-07'!I46-'Cy11_2020_44Dists_02-07'!I46</f>
        <v>-1461</v>
      </c>
      <c r="K46" s="48">
        <f>'Cy11_2045_44Dists_02-07'!K46-'Cy11_2020_44Dists_02-07'!K46</f>
        <v>39358</v>
      </c>
      <c r="L46" s="24">
        <f>'Cy11_2045_44Dists_02-07'!L46-'Cy11_2020_44Dists_02-07'!L46</f>
        <v>0</v>
      </c>
      <c r="M46" s="24">
        <f>'Cy11_2045_44Dists_02-07'!M46-'Cy11_2020_44Dists_02-07'!M46</f>
        <v>39358</v>
      </c>
      <c r="N46" s="24">
        <f>'Cy11_2045_44Dists_02-07'!N46-'Cy11_2020_44Dists_02-07'!N46</f>
        <v>21107</v>
      </c>
      <c r="O46" s="34">
        <f>'Cy11_2045_44Dists_02-07'!O46-'Cy11_2020_44Dists_02-07'!O46</f>
        <v>-5.6756007398766961E-2</v>
      </c>
    </row>
    <row r="47" spans="2:15" ht="15" customHeight="1">
      <c r="B47" s="16">
        <v>40</v>
      </c>
      <c r="C47" s="17" t="s">
        <v>62</v>
      </c>
      <c r="E47" s="23">
        <f>'Cy11_2045_44Dists_02-07'!E47-'Cy11_2020_44Dists_02-07'!E47</f>
        <v>4604</v>
      </c>
      <c r="F47" s="24">
        <f>'Cy11_2045_44Dists_02-07'!F47-'Cy11_2020_44Dists_02-07'!F47</f>
        <v>527</v>
      </c>
      <c r="G47" s="24">
        <f>'Cy11_2045_44Dists_02-07'!G47-'Cy11_2020_44Dists_02-07'!G47</f>
        <v>335</v>
      </c>
      <c r="H47" s="24">
        <f>'Cy11_2045_44Dists_02-07'!H47-'Cy11_2020_44Dists_02-07'!H47</f>
        <v>3122</v>
      </c>
      <c r="I47" s="25">
        <f>'Cy11_2045_44Dists_02-07'!I47-'Cy11_2020_44Dists_02-07'!I47</f>
        <v>620</v>
      </c>
      <c r="K47" s="48">
        <f>'Cy11_2045_44Dists_02-07'!K47-'Cy11_2020_44Dists_02-07'!K47</f>
        <v>3754</v>
      </c>
      <c r="L47" s="24">
        <f>'Cy11_2045_44Dists_02-07'!L47-'Cy11_2020_44Dists_02-07'!L47</f>
        <v>0</v>
      </c>
      <c r="M47" s="24">
        <f>'Cy11_2045_44Dists_02-07'!M47-'Cy11_2020_44Dists_02-07'!M47</f>
        <v>3754</v>
      </c>
      <c r="N47" s="24">
        <f>'Cy11_2045_44Dists_02-07'!N47-'Cy11_2020_44Dists_02-07'!N47</f>
        <v>1995</v>
      </c>
      <c r="O47" s="34">
        <f>'Cy11_2045_44Dists_02-07'!O47-'Cy11_2020_44Dists_02-07'!O47</f>
        <v>3.9064535186340565E-2</v>
      </c>
    </row>
    <row r="48" spans="2:15" ht="15" customHeight="1">
      <c r="B48" s="16">
        <v>41</v>
      </c>
      <c r="C48" s="17" t="s">
        <v>63</v>
      </c>
      <c r="E48" s="23">
        <f>'Cy11_2045_44Dists_02-07'!E48-'Cy11_2020_44Dists_02-07'!E48</f>
        <v>201</v>
      </c>
      <c r="F48" s="24">
        <f>'Cy11_2045_44Dists_02-07'!F48-'Cy11_2020_44Dists_02-07'!F48</f>
        <v>-12</v>
      </c>
      <c r="G48" s="24">
        <f>'Cy11_2045_44Dists_02-07'!G48-'Cy11_2020_44Dists_02-07'!G48</f>
        <v>14</v>
      </c>
      <c r="H48" s="24">
        <f>'Cy11_2045_44Dists_02-07'!H48-'Cy11_2020_44Dists_02-07'!H48</f>
        <v>173</v>
      </c>
      <c r="I48" s="25">
        <f>'Cy11_2045_44Dists_02-07'!I48-'Cy11_2020_44Dists_02-07'!I48</f>
        <v>26</v>
      </c>
      <c r="K48" s="48">
        <f>'Cy11_2045_44Dists_02-07'!K48-'Cy11_2020_44Dists_02-07'!K48</f>
        <v>1611</v>
      </c>
      <c r="L48" s="24">
        <f>'Cy11_2045_44Dists_02-07'!L48-'Cy11_2020_44Dists_02-07'!L48</f>
        <v>0</v>
      </c>
      <c r="M48" s="24">
        <f>'Cy11_2045_44Dists_02-07'!M48-'Cy11_2020_44Dists_02-07'!M48</f>
        <v>1611</v>
      </c>
      <c r="N48" s="24">
        <f>'Cy11_2045_44Dists_02-07'!N48-'Cy11_2020_44Dists_02-07'!N48</f>
        <v>699</v>
      </c>
      <c r="O48" s="34">
        <f>'Cy11_2045_44Dists_02-07'!O48-'Cy11_2020_44Dists_02-07'!O48</f>
        <v>9.6869643509531755E-3</v>
      </c>
    </row>
    <row r="49" spans="2:15" ht="15" customHeight="1">
      <c r="B49" s="16">
        <v>42</v>
      </c>
      <c r="C49" s="17" t="s">
        <v>64</v>
      </c>
      <c r="E49" s="23">
        <f>'Cy11_2045_44Dists_02-07'!E49-'Cy11_2020_44Dists_02-07'!E49</f>
        <v>1416</v>
      </c>
      <c r="F49" s="24">
        <f>'Cy11_2045_44Dists_02-07'!F49-'Cy11_2020_44Dists_02-07'!F49</f>
        <v>-166</v>
      </c>
      <c r="G49" s="24">
        <f>'Cy11_2045_44Dists_02-07'!G49-'Cy11_2020_44Dists_02-07'!G49</f>
        <v>137</v>
      </c>
      <c r="H49" s="24">
        <f>'Cy11_2045_44Dists_02-07'!H49-'Cy11_2020_44Dists_02-07'!H49</f>
        <v>1389</v>
      </c>
      <c r="I49" s="25">
        <f>'Cy11_2045_44Dists_02-07'!I49-'Cy11_2020_44Dists_02-07'!I49</f>
        <v>56</v>
      </c>
      <c r="K49" s="48">
        <f>'Cy11_2045_44Dists_02-07'!K49-'Cy11_2020_44Dists_02-07'!K49</f>
        <v>1674</v>
      </c>
      <c r="L49" s="24">
        <f>'Cy11_2045_44Dists_02-07'!L49-'Cy11_2020_44Dists_02-07'!L49</f>
        <v>0</v>
      </c>
      <c r="M49" s="24">
        <f>'Cy11_2045_44Dists_02-07'!M49-'Cy11_2020_44Dists_02-07'!M49</f>
        <v>1674</v>
      </c>
      <c r="N49" s="24">
        <f>'Cy11_2045_44Dists_02-07'!N49-'Cy11_2020_44Dists_02-07'!N49</f>
        <v>1149</v>
      </c>
      <c r="O49" s="34">
        <f>'Cy11_2045_44Dists_02-07'!O49-'Cy11_2020_44Dists_02-07'!O49</f>
        <v>-8.4610931403477974E-2</v>
      </c>
    </row>
    <row r="50" spans="2:15" ht="15" customHeight="1">
      <c r="B50" s="16">
        <v>43</v>
      </c>
      <c r="C50" s="17" t="s">
        <v>65</v>
      </c>
      <c r="E50" s="23">
        <f>'Cy11_2045_44Dists_02-07'!E50-'Cy11_2020_44Dists_02-07'!E50</f>
        <v>3244</v>
      </c>
      <c r="F50" s="24">
        <f>'Cy11_2045_44Dists_02-07'!F50-'Cy11_2020_44Dists_02-07'!F50</f>
        <v>-448</v>
      </c>
      <c r="G50" s="24">
        <f>'Cy11_2045_44Dists_02-07'!G50-'Cy11_2020_44Dists_02-07'!G50</f>
        <v>473</v>
      </c>
      <c r="H50" s="24">
        <f>'Cy11_2045_44Dists_02-07'!H50-'Cy11_2020_44Dists_02-07'!H50</f>
        <v>3090</v>
      </c>
      <c r="I50" s="25">
        <f>'Cy11_2045_44Dists_02-07'!I50-'Cy11_2020_44Dists_02-07'!I50</f>
        <v>129</v>
      </c>
      <c r="K50" s="48">
        <f>'Cy11_2045_44Dists_02-07'!K50-'Cy11_2020_44Dists_02-07'!K50</f>
        <v>9259</v>
      </c>
      <c r="L50" s="24">
        <f>'Cy11_2045_44Dists_02-07'!L50-'Cy11_2020_44Dists_02-07'!L50</f>
        <v>0</v>
      </c>
      <c r="M50" s="24">
        <f>'Cy11_2045_44Dists_02-07'!M50-'Cy11_2020_44Dists_02-07'!M50</f>
        <v>9259</v>
      </c>
      <c r="N50" s="24">
        <f>'Cy11_2045_44Dists_02-07'!N50-'Cy11_2020_44Dists_02-07'!N50</f>
        <v>4642</v>
      </c>
      <c r="O50" s="34">
        <f>'Cy11_2045_44Dists_02-07'!O50-'Cy11_2020_44Dists_02-07'!O50</f>
        <v>-2.9688589012629496E-2</v>
      </c>
    </row>
    <row r="51" spans="2:15" ht="15" customHeight="1" thickBot="1">
      <c r="B51" s="16">
        <v>44</v>
      </c>
      <c r="C51" s="17" t="s">
        <v>66</v>
      </c>
      <c r="E51" s="23">
        <f>'Cy11_2045_44Dists_02-07'!E51-'Cy11_2020_44Dists_02-07'!E51</f>
        <v>7387</v>
      </c>
      <c r="F51" s="24">
        <f>'Cy11_2045_44Dists_02-07'!F51-'Cy11_2020_44Dists_02-07'!F51</f>
        <v>-497</v>
      </c>
      <c r="G51" s="24">
        <f>'Cy11_2045_44Dists_02-07'!G51-'Cy11_2020_44Dists_02-07'!G51</f>
        <v>696</v>
      </c>
      <c r="H51" s="24">
        <f>'Cy11_2045_44Dists_02-07'!H51-'Cy11_2020_44Dists_02-07'!H51</f>
        <v>7332</v>
      </c>
      <c r="I51" s="25">
        <f>'Cy11_2045_44Dists_02-07'!I51-'Cy11_2020_44Dists_02-07'!I51</f>
        <v>-144</v>
      </c>
      <c r="K51" s="48">
        <f>'Cy11_2045_44Dists_02-07'!K51-'Cy11_2020_44Dists_02-07'!K51</f>
        <v>12569</v>
      </c>
      <c r="L51" s="24">
        <f>'Cy11_2045_44Dists_02-07'!L51-'Cy11_2020_44Dists_02-07'!L51</f>
        <v>0</v>
      </c>
      <c r="M51" s="24">
        <f>'Cy11_2045_44Dists_02-07'!M51-'Cy11_2020_44Dists_02-07'!M51</f>
        <v>12569</v>
      </c>
      <c r="N51" s="24">
        <f>'Cy11_2045_44Dists_02-07'!N51-'Cy11_2020_44Dists_02-07'!N51</f>
        <v>6631</v>
      </c>
      <c r="O51" s="34">
        <f>'Cy11_2045_44Dists_02-07'!O51-'Cy11_2020_44Dists_02-07'!O51</f>
        <v>-4.3065966522743082E-2</v>
      </c>
    </row>
    <row r="52" spans="2:15" ht="15" customHeight="1" thickBot="1">
      <c r="B52" s="18"/>
      <c r="C52" s="19" t="s">
        <v>3</v>
      </c>
      <c r="E52" s="26">
        <f>SUM(E8:E51)</f>
        <v>138700</v>
      </c>
      <c r="F52" s="27">
        <f t="shared" ref="F52:I52" si="0">SUM(F8:F51)</f>
        <v>-22594</v>
      </c>
      <c r="G52" s="27">
        <f t="shared" si="0"/>
        <v>9282</v>
      </c>
      <c r="H52" s="27">
        <f t="shared" si="0"/>
        <v>149751</v>
      </c>
      <c r="I52" s="28">
        <f t="shared" si="0"/>
        <v>2261</v>
      </c>
      <c r="J52" s="29"/>
      <c r="K52" s="26">
        <f t="shared" ref="K52" si="1">L52+M52</f>
        <v>303755</v>
      </c>
      <c r="L52" s="27">
        <f t="shared" ref="L52:N52" si="2">SUM(L8:L51)</f>
        <v>0</v>
      </c>
      <c r="M52" s="27">
        <f t="shared" si="2"/>
        <v>303755</v>
      </c>
      <c r="N52" s="27">
        <f t="shared" si="2"/>
        <v>157184</v>
      </c>
      <c r="O52" s="35">
        <f>'Cy11_2045_44Dists_02-07'!O52-'Cy11_2020_44Dists_02-07'!O52</f>
        <v>-4.8632633782421664E-2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3:O52"/>
  <sheetViews>
    <sheetView zoomScale="75" zoomScaleNormal="75" workbookViewId="0"/>
  </sheetViews>
  <sheetFormatPr defaultRowHeight="12.75"/>
  <cols>
    <col min="1" max="1" width="9.140625" style="7"/>
    <col min="2" max="2" width="9.28515625" style="7" bestFit="1" customWidth="1"/>
    <col min="3" max="3" width="55.7109375" style="7" customWidth="1"/>
    <col min="4" max="4" width="2.7109375" style="7" customWidth="1"/>
    <col min="5" max="9" width="14.7109375" style="7" customWidth="1"/>
    <col min="10" max="10" width="2.7109375" style="7" customWidth="1"/>
    <col min="11" max="15" width="14.7109375" style="7" customWidth="1"/>
    <col min="16" max="16384" width="9.140625" style="7"/>
  </cols>
  <sheetData>
    <row r="3" spans="2:15" ht="20.25">
      <c r="B3" s="8" t="s">
        <v>18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2:15" ht="18">
      <c r="B4" s="9" t="s">
        <v>20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2:15" ht="13.5" thickBot="1"/>
    <row r="6" spans="2:15" ht="20.100000000000001" customHeight="1" thickBot="1">
      <c r="B6" s="14"/>
      <c r="C6" s="15"/>
      <c r="E6" s="11" t="s">
        <v>16</v>
      </c>
      <c r="F6" s="12"/>
      <c r="G6" s="12"/>
      <c r="H6" s="12"/>
      <c r="I6" s="13"/>
      <c r="K6" s="11" t="s">
        <v>17</v>
      </c>
      <c r="L6" s="12"/>
      <c r="M6" s="12"/>
      <c r="N6" s="12"/>
      <c r="O6" s="13"/>
    </row>
    <row r="7" spans="2:15" ht="15" customHeight="1" thickBot="1">
      <c r="B7" s="46" t="s">
        <v>0</v>
      </c>
      <c r="C7" s="47" t="s">
        <v>1</v>
      </c>
      <c r="E7" s="3" t="s">
        <v>3</v>
      </c>
      <c r="F7" s="1" t="s">
        <v>4</v>
      </c>
      <c r="G7" s="1" t="s">
        <v>5</v>
      </c>
      <c r="H7" s="1" t="s">
        <v>6</v>
      </c>
      <c r="I7" s="2" t="s">
        <v>7</v>
      </c>
      <c r="K7" s="4" t="s">
        <v>13</v>
      </c>
      <c r="L7" s="5" t="s">
        <v>9</v>
      </c>
      <c r="M7" s="5" t="s">
        <v>8</v>
      </c>
      <c r="N7" s="5" t="s">
        <v>10</v>
      </c>
      <c r="O7" s="6" t="s">
        <v>11</v>
      </c>
    </row>
    <row r="8" spans="2:15" ht="15" customHeight="1">
      <c r="B8" s="16">
        <v>1</v>
      </c>
      <c r="C8" s="17" t="s">
        <v>23</v>
      </c>
      <c r="E8" s="36">
        <f>IF(('Cy11_2020_44Dists_02-07'!E8=0),(0),(('Cy11_2045_44Dists_02-07'!E8/'Cy11_2020_44Dists_02-07'!E8)-1))</f>
        <v>3.8189533239038287E-2</v>
      </c>
      <c r="F8" s="37">
        <f>IF(('Cy11_2020_44Dists_02-07'!F8=0),(0),(('Cy11_2045_44Dists_02-07'!F8/'Cy11_2020_44Dists_02-07'!F8)-1))</f>
        <v>-0.48115942028985503</v>
      </c>
      <c r="G8" s="37">
        <f>IF(('Cy11_2020_44Dists_02-07'!G8=0),(0),(('Cy11_2045_44Dists_02-07'!G8/'Cy11_2020_44Dists_02-07'!G8)-1))</f>
        <v>0.15533980582524265</v>
      </c>
      <c r="H8" s="37">
        <f>IF(('Cy11_2020_44Dists_02-07'!H8=0),(0),(('Cy11_2045_44Dists_02-07'!H8/'Cy11_2020_44Dists_02-07'!H8)-1))</f>
        <v>4.9808116273373004E-2</v>
      </c>
      <c r="I8" s="38">
        <f>IF(('Cy11_2020_44Dists_02-07'!I8=0),(0),(('Cy11_2045_44Dists_02-07'!I8/'Cy11_2020_44Dists_02-07'!I8)-1))</f>
        <v>1.5488867376573179E-2</v>
      </c>
      <c r="K8" s="36">
        <f>IF(('Cy11_2020_44Dists_02-07'!K8=0),(0),(('Cy11_2045_44Dists_02-07'!K8/'Cy11_2020_44Dists_02-07'!K8)-1))</f>
        <v>0.12999709611847843</v>
      </c>
      <c r="L8" s="37">
        <f>IF(('Cy11_2020_44Dists_02-07'!L8=0),(0),(('Cy11_2045_44Dists_02-07'!L8/'Cy11_2020_44Dists_02-07'!L8)-1))</f>
        <v>0</v>
      </c>
      <c r="M8" s="37">
        <f>IF(('Cy11_2020_44Dists_02-07'!M8=0),(0),(('Cy11_2045_44Dists_02-07'!M8/'Cy11_2020_44Dists_02-07'!M8)-1))</f>
        <v>0.16584341812793291</v>
      </c>
      <c r="N8" s="37">
        <f>IF(('Cy11_2020_44Dists_02-07'!N8=0),(0),(('Cy11_2045_44Dists_02-07'!N8/'Cy11_2020_44Dists_02-07'!N8)-1))</f>
        <v>0.27672076105204257</v>
      </c>
      <c r="O8" s="38">
        <f>IF(('Cy11_2020_44Dists_02-07'!O8=0),(0),(('Cy11_2045_44Dists_02-07'!O8/'Cy11_2020_44Dists_02-07'!O8)-1))</f>
        <v>-8.6845413896727508E-2</v>
      </c>
    </row>
    <row r="9" spans="2:15" ht="15" customHeight="1">
      <c r="B9" s="16">
        <v>2</v>
      </c>
      <c r="C9" s="17" t="s">
        <v>24</v>
      </c>
      <c r="E9" s="39">
        <f>IF(('Cy11_2020_44Dists_02-07'!E9=0),(0),(('Cy11_2045_44Dists_02-07'!E9/'Cy11_2020_44Dists_02-07'!E9)-1))</f>
        <v>-1.8805693785441502E-2</v>
      </c>
      <c r="F9" s="40">
        <f>IF(('Cy11_2020_44Dists_02-07'!F9=0),(0),(('Cy11_2045_44Dists_02-07'!F9/'Cy11_2020_44Dists_02-07'!F9)-1))</f>
        <v>-0.42822677925211095</v>
      </c>
      <c r="G9" s="40">
        <f>IF(('Cy11_2020_44Dists_02-07'!G9=0),(0),(('Cy11_2045_44Dists_02-07'!G9/'Cy11_2020_44Dists_02-07'!G9)-1))</f>
        <v>-4.7441860465116226E-2</v>
      </c>
      <c r="H9" s="40">
        <f>IF(('Cy11_2020_44Dists_02-07'!H9=0),(0),(('Cy11_2045_44Dists_02-07'!H9/'Cy11_2020_44Dists_02-07'!H9)-1))</f>
        <v>3.4524166916842791E-3</v>
      </c>
      <c r="I9" s="41">
        <f>IF(('Cy11_2020_44Dists_02-07'!I9=0),(0),(('Cy11_2045_44Dists_02-07'!I9/'Cy11_2020_44Dists_02-07'!I9)-1))</f>
        <v>1.7039922103213145E-2</v>
      </c>
      <c r="K9" s="39">
        <f>IF(('Cy11_2020_44Dists_02-07'!K9=0),(0),(('Cy11_2045_44Dists_02-07'!K9/'Cy11_2020_44Dists_02-07'!K9)-1))</f>
        <v>5.7443609022556297E-2</v>
      </c>
      <c r="L9" s="40">
        <f>IF(('Cy11_2020_44Dists_02-07'!L9=0),(0),(('Cy11_2045_44Dists_02-07'!L9/'Cy11_2020_44Dists_02-07'!L9)-1))</f>
        <v>0</v>
      </c>
      <c r="M9" s="40">
        <f>IF(('Cy11_2020_44Dists_02-07'!M9=0),(0),(('Cy11_2045_44Dists_02-07'!M9/'Cy11_2020_44Dists_02-07'!M9)-1))</f>
        <v>5.9133126934984626E-2</v>
      </c>
      <c r="N9" s="40">
        <f>IF(('Cy11_2020_44Dists_02-07'!N9=0),(0),(('Cy11_2045_44Dists_02-07'!N9/'Cy11_2020_44Dists_02-07'!N9)-1))</f>
        <v>0.15275994865211806</v>
      </c>
      <c r="O9" s="41">
        <f>IF(('Cy11_2020_44Dists_02-07'!O9=0),(0),(('Cy11_2045_44Dists_02-07'!O9/'Cy11_2020_44Dists_02-07'!O9)-1))</f>
        <v>-8.1219703917201569E-2</v>
      </c>
    </row>
    <row r="10" spans="2:15" ht="15" customHeight="1">
      <c r="B10" s="16">
        <v>3</v>
      </c>
      <c r="C10" s="17" t="s">
        <v>25</v>
      </c>
      <c r="E10" s="39">
        <f>IF(('Cy11_2020_44Dists_02-07'!E10=0),(0),(('Cy11_2045_44Dists_02-07'!E10/'Cy11_2020_44Dists_02-07'!E10)-1))</f>
        <v>9.5284734853784858E-2</v>
      </c>
      <c r="F10" s="40">
        <f>IF(('Cy11_2020_44Dists_02-07'!F10=0),(0),(('Cy11_2045_44Dists_02-07'!F10/'Cy11_2020_44Dists_02-07'!F10)-1))</f>
        <v>-0.41339155749636103</v>
      </c>
      <c r="G10" s="40">
        <f>IF(('Cy11_2020_44Dists_02-07'!G10=0),(0),(('Cy11_2045_44Dists_02-07'!G10/'Cy11_2020_44Dists_02-07'!G10)-1))</f>
        <v>7.4626865671641784E-2</v>
      </c>
      <c r="H10" s="40">
        <f>IF(('Cy11_2020_44Dists_02-07'!H10=0),(0),(('Cy11_2045_44Dists_02-07'!H10/'Cy11_2020_44Dists_02-07'!H10)-1))</f>
        <v>0.13008130081300817</v>
      </c>
      <c r="I10" s="41">
        <f>IF(('Cy11_2020_44Dists_02-07'!I10=0),(0),(('Cy11_2045_44Dists_02-07'!I10/'Cy11_2020_44Dists_02-07'!I10)-1))</f>
        <v>0.6606498194945849</v>
      </c>
      <c r="K10" s="39">
        <f>IF(('Cy11_2020_44Dists_02-07'!K10=0),(0),(('Cy11_2045_44Dists_02-07'!K10/'Cy11_2020_44Dists_02-07'!K10)-1))</f>
        <v>8.9555585452262498E-2</v>
      </c>
      <c r="L10" s="40">
        <f>IF(('Cy11_2020_44Dists_02-07'!L10=0),(0),(('Cy11_2045_44Dists_02-07'!L10/'Cy11_2020_44Dists_02-07'!L10)-1))</f>
        <v>0</v>
      </c>
      <c r="M10" s="40">
        <f>IF(('Cy11_2020_44Dists_02-07'!M10=0),(0),(('Cy11_2045_44Dists_02-07'!M10/'Cy11_2020_44Dists_02-07'!M10)-1))</f>
        <v>9.1266395502947795E-2</v>
      </c>
      <c r="N10" s="40">
        <f>IF(('Cy11_2020_44Dists_02-07'!N10=0),(0),(('Cy11_2045_44Dists_02-07'!N10/'Cy11_2020_44Dists_02-07'!N10)-1))</f>
        <v>0.12699528159823315</v>
      </c>
      <c r="O10" s="41">
        <f>IF(('Cy11_2020_44Dists_02-07'!O10=0),(0),(('Cy11_2045_44Dists_02-07'!O10/'Cy11_2020_44Dists_02-07'!O10)-1))</f>
        <v>-3.170278232630841E-2</v>
      </c>
    </row>
    <row r="11" spans="2:15" ht="15" customHeight="1">
      <c r="B11" s="16">
        <v>4</v>
      </c>
      <c r="C11" s="17" t="s">
        <v>26</v>
      </c>
      <c r="E11" s="39">
        <f>IF(('Cy11_2020_44Dists_02-07'!E11=0),(0),(('Cy11_2045_44Dists_02-07'!E11/'Cy11_2020_44Dists_02-07'!E11)-1))</f>
        <v>6.9978708303761517E-2</v>
      </c>
      <c r="F11" s="40">
        <f>IF(('Cy11_2020_44Dists_02-07'!F11=0),(0),(('Cy11_2045_44Dists_02-07'!F11/'Cy11_2020_44Dists_02-07'!F11)-1))</f>
        <v>-0.23152107513744657</v>
      </c>
      <c r="G11" s="40">
        <f>IF(('Cy11_2020_44Dists_02-07'!G11=0),(0),(('Cy11_2045_44Dists_02-07'!G11/'Cy11_2020_44Dists_02-07'!G11)-1))</f>
        <v>-1.219166430394103E-2</v>
      </c>
      <c r="H11" s="40">
        <f>IF(('Cy11_2020_44Dists_02-07'!H11=0),(0),(('Cy11_2045_44Dists_02-07'!H11/'Cy11_2020_44Dists_02-07'!H11)-1))</f>
        <v>9.4740582800284301E-2</v>
      </c>
      <c r="I11" s="41">
        <f>IF(('Cy11_2020_44Dists_02-07'!I11=0),(0),(('Cy11_2045_44Dists_02-07'!I11/'Cy11_2020_44Dists_02-07'!I11)-1))</f>
        <v>0.29879011046817472</v>
      </c>
      <c r="K11" s="39">
        <f>IF(('Cy11_2020_44Dists_02-07'!K11=0),(0),(('Cy11_2045_44Dists_02-07'!K11/'Cy11_2020_44Dists_02-07'!K11)-1))</f>
        <v>8.2301702520786613E-2</v>
      </c>
      <c r="L11" s="40">
        <f>IF(('Cy11_2020_44Dists_02-07'!L11=0),(0),(('Cy11_2045_44Dists_02-07'!L11/'Cy11_2020_44Dists_02-07'!L11)-1))</f>
        <v>0</v>
      </c>
      <c r="M11" s="40">
        <f>IF(('Cy11_2020_44Dists_02-07'!M11=0),(0),(('Cy11_2045_44Dists_02-07'!M11/'Cy11_2020_44Dists_02-07'!M11)-1))</f>
        <v>8.3715935024835542E-2</v>
      </c>
      <c r="N11" s="40">
        <f>IF(('Cy11_2020_44Dists_02-07'!N11=0),(0),(('Cy11_2045_44Dists_02-07'!N11/'Cy11_2020_44Dists_02-07'!N11)-1))</f>
        <v>0.10285680833626043</v>
      </c>
      <c r="O11" s="41">
        <f>IF(('Cy11_2020_44Dists_02-07'!O11=0),(0),(('Cy11_2045_44Dists_02-07'!O11/'Cy11_2020_44Dists_02-07'!O11)-1))</f>
        <v>-1.7355719406855874E-2</v>
      </c>
    </row>
    <row r="12" spans="2:15" ht="15" customHeight="1">
      <c r="B12" s="16">
        <v>5</v>
      </c>
      <c r="C12" s="17" t="s">
        <v>27</v>
      </c>
      <c r="E12" s="39">
        <f>IF(('Cy11_2020_44Dists_02-07'!E12=0),(0),(('Cy11_2045_44Dists_02-07'!E12/'Cy11_2020_44Dists_02-07'!E12)-1))</f>
        <v>9.2637916532275932E-2</v>
      </c>
      <c r="F12" s="40">
        <f>IF(('Cy11_2020_44Dists_02-07'!F12=0),(0),(('Cy11_2045_44Dists_02-07'!F12/'Cy11_2020_44Dists_02-07'!F12)-1))</f>
        <v>-0.26516251535798052</v>
      </c>
      <c r="G12" s="40">
        <f>IF(('Cy11_2020_44Dists_02-07'!G12=0),(0),(('Cy11_2045_44Dists_02-07'!G12/'Cy11_2020_44Dists_02-07'!G12)-1))</f>
        <v>4.983710202896674E-2</v>
      </c>
      <c r="H12" s="40">
        <f>IF(('Cy11_2020_44Dists_02-07'!H12=0),(0),(('Cy11_2045_44Dists_02-07'!H12/'Cy11_2020_44Dists_02-07'!H12)-1))</f>
        <v>0.15419568039655385</v>
      </c>
      <c r="I12" s="41">
        <f>IF(('Cy11_2020_44Dists_02-07'!I12=0),(0),(('Cy11_2045_44Dists_02-07'!I12/'Cy11_2020_44Dists_02-07'!I12)-1))</f>
        <v>-1.2188466436237944E-2</v>
      </c>
      <c r="K12" s="39">
        <f>IF(('Cy11_2020_44Dists_02-07'!K12=0),(0),(('Cy11_2045_44Dists_02-07'!K12/'Cy11_2020_44Dists_02-07'!K12)-1))</f>
        <v>0.162535634936956</v>
      </c>
      <c r="L12" s="40">
        <f>IF(('Cy11_2020_44Dists_02-07'!L12=0),(0),(('Cy11_2045_44Dists_02-07'!L12/'Cy11_2020_44Dists_02-07'!L12)-1))</f>
        <v>0</v>
      </c>
      <c r="M12" s="40">
        <f>IF(('Cy11_2020_44Dists_02-07'!M12=0),(0),(('Cy11_2045_44Dists_02-07'!M12/'Cy11_2020_44Dists_02-07'!M12)-1))</f>
        <v>0.16453660428189476</v>
      </c>
      <c r="N12" s="40">
        <f>IF(('Cy11_2020_44Dists_02-07'!N12=0),(0),(('Cy11_2045_44Dists_02-07'!N12/'Cy11_2020_44Dists_02-07'!N12)-1))</f>
        <v>0.19312102159565736</v>
      </c>
      <c r="O12" s="41">
        <f>IF(('Cy11_2020_44Dists_02-07'!O12=0),(0),(('Cy11_2045_44Dists_02-07'!O12/'Cy11_2020_44Dists_02-07'!O12)-1))</f>
        <v>-2.3957684758193598E-2</v>
      </c>
    </row>
    <row r="13" spans="2:15" ht="15" customHeight="1">
      <c r="B13" s="16">
        <v>6</v>
      </c>
      <c r="C13" s="17" t="s">
        <v>28</v>
      </c>
      <c r="E13" s="39">
        <f>IF(('Cy11_2020_44Dists_02-07'!E13=0),(0),(('Cy11_2045_44Dists_02-07'!E13/'Cy11_2020_44Dists_02-07'!E13)-1))</f>
        <v>4.2494365138993242</v>
      </c>
      <c r="F13" s="40">
        <f>IF(('Cy11_2020_44Dists_02-07'!F13=0),(0),(('Cy11_2045_44Dists_02-07'!F13/'Cy11_2020_44Dists_02-07'!F13)-1))</f>
        <v>13.156862745098039</v>
      </c>
      <c r="G13" s="40">
        <f>IF(('Cy11_2020_44Dists_02-07'!G13=0),(0),(('Cy11_2045_44Dists_02-07'!G13/'Cy11_2020_44Dists_02-07'!G13)-1))</f>
        <v>6.7307692307692291E-2</v>
      </c>
      <c r="H13" s="40">
        <f>IF(('Cy11_2020_44Dists_02-07'!H13=0),(0),(('Cy11_2045_44Dists_02-07'!H13/'Cy11_2020_44Dists_02-07'!H13)-1))</f>
        <v>4.4026607538802658</v>
      </c>
      <c r="I13" s="41">
        <f>IF(('Cy11_2020_44Dists_02-07'!I13=0),(0),(('Cy11_2045_44Dists_02-07'!I13/'Cy11_2020_44Dists_02-07'!I13)-1))</f>
        <v>0.17412935323383083</v>
      </c>
      <c r="K13" s="39">
        <f>IF(('Cy11_2020_44Dists_02-07'!K13=0),(0),(('Cy11_2045_44Dists_02-07'!K13/'Cy11_2020_44Dists_02-07'!K13)-1))</f>
        <v>1.1904385618332674</v>
      </c>
      <c r="L13" s="40">
        <f>IF(('Cy11_2020_44Dists_02-07'!L13=0),(0),(('Cy11_2045_44Dists_02-07'!L13/'Cy11_2020_44Dists_02-07'!L13)-1))</f>
        <v>0</v>
      </c>
      <c r="M13" s="40">
        <f>IF(('Cy11_2020_44Dists_02-07'!M13=0),(0),(('Cy11_2045_44Dists_02-07'!M13/'Cy11_2020_44Dists_02-07'!M13)-1))</f>
        <v>1.2294613710554949</v>
      </c>
      <c r="N13" s="40">
        <f>IF(('Cy11_2020_44Dists_02-07'!N13=0),(0),(('Cy11_2045_44Dists_02-07'!N13/'Cy11_2020_44Dists_02-07'!N13)-1))</f>
        <v>1.256242197253433</v>
      </c>
      <c r="O13" s="41">
        <f>IF(('Cy11_2020_44Dists_02-07'!O13=0),(0),(('Cy11_2045_44Dists_02-07'!O13/'Cy11_2020_44Dists_02-07'!O13)-1))</f>
        <v>-1.1869659308091585E-2</v>
      </c>
    </row>
    <row r="14" spans="2:15" ht="15" customHeight="1">
      <c r="B14" s="16">
        <v>7</v>
      </c>
      <c r="C14" s="17" t="s">
        <v>29</v>
      </c>
      <c r="E14" s="39">
        <f>IF(('Cy11_2020_44Dists_02-07'!E14=0),(0),(('Cy11_2045_44Dists_02-07'!E14/'Cy11_2020_44Dists_02-07'!E14)-1))</f>
        <v>9.9758498978264942E-2</v>
      </c>
      <c r="F14" s="40">
        <f>IF(('Cy11_2020_44Dists_02-07'!F14=0),(0),(('Cy11_2045_44Dists_02-07'!F14/'Cy11_2020_44Dists_02-07'!F14)-1))</f>
        <v>-0.36945812807881773</v>
      </c>
      <c r="G14" s="40">
        <f>IF(('Cy11_2020_44Dists_02-07'!G14=0),(0),(('Cy11_2045_44Dists_02-07'!G14/'Cy11_2020_44Dists_02-07'!G14)-1))</f>
        <v>6.3164477798624219E-2</v>
      </c>
      <c r="H14" s="40">
        <f>IF(('Cy11_2020_44Dists_02-07'!H14=0),(0),(('Cy11_2045_44Dists_02-07'!H14/'Cy11_2020_44Dists_02-07'!H14)-1))</f>
        <v>0.11507386888273308</v>
      </c>
      <c r="I14" s="41">
        <f>IF(('Cy11_2020_44Dists_02-07'!I14=0),(0),(('Cy11_2045_44Dists_02-07'!I14/'Cy11_2020_44Dists_02-07'!I14)-1))</f>
        <v>0.16999999999999993</v>
      </c>
      <c r="K14" s="39">
        <f>IF(('Cy11_2020_44Dists_02-07'!K14=0),(0),(('Cy11_2045_44Dists_02-07'!K14/'Cy11_2020_44Dists_02-07'!K14)-1))</f>
        <v>0.21427669780358505</v>
      </c>
      <c r="L14" s="40">
        <f>IF(('Cy11_2020_44Dists_02-07'!L14=0),(0),(('Cy11_2045_44Dists_02-07'!L14/'Cy11_2020_44Dists_02-07'!L14)-1))</f>
        <v>0</v>
      </c>
      <c r="M14" s="40">
        <f>IF(('Cy11_2020_44Dists_02-07'!M14=0),(0),(('Cy11_2045_44Dists_02-07'!M14/'Cy11_2020_44Dists_02-07'!M14)-1))</f>
        <v>0.22005444646097994</v>
      </c>
      <c r="N14" s="40">
        <f>IF(('Cy11_2020_44Dists_02-07'!N14=0),(0),(('Cy11_2045_44Dists_02-07'!N14/'Cy11_2020_44Dists_02-07'!N14)-1))</f>
        <v>0.17448648648648657</v>
      </c>
      <c r="O14" s="41">
        <f>IF(('Cy11_2020_44Dists_02-07'!O14=0),(0),(('Cy11_2045_44Dists_02-07'!O14/'Cy11_2020_44Dists_02-07'!O14)-1))</f>
        <v>3.8798198615985324E-2</v>
      </c>
    </row>
    <row r="15" spans="2:15" ht="15" customHeight="1">
      <c r="B15" s="16">
        <v>8</v>
      </c>
      <c r="C15" s="17" t="s">
        <v>30</v>
      </c>
      <c r="E15" s="39">
        <f>IF(('Cy11_2020_44Dists_02-07'!E15=0),(0),(('Cy11_2045_44Dists_02-07'!E15/'Cy11_2020_44Dists_02-07'!E15)-1))</f>
        <v>3.4387718671902823E-2</v>
      </c>
      <c r="F15" s="40">
        <f>IF(('Cy11_2020_44Dists_02-07'!F15=0),(0),(('Cy11_2045_44Dists_02-07'!F15/'Cy11_2020_44Dists_02-07'!F15)-1))</f>
        <v>-0.57587548638132291</v>
      </c>
      <c r="G15" s="40">
        <f>IF(('Cy11_2020_44Dists_02-07'!G15=0),(0),(('Cy11_2045_44Dists_02-07'!G15/'Cy11_2020_44Dists_02-07'!G15)-1))</f>
        <v>-5.8643860720830832E-2</v>
      </c>
      <c r="H15" s="40">
        <f>IF(('Cy11_2020_44Dists_02-07'!H15=0),(0),(('Cy11_2045_44Dists_02-07'!H15/'Cy11_2020_44Dists_02-07'!H15)-1))</f>
        <v>4.1825794874154498E-2</v>
      </c>
      <c r="I15" s="41">
        <f>IF(('Cy11_2020_44Dists_02-07'!I15=0),(0),(('Cy11_2045_44Dists_02-07'!I15/'Cy11_2020_44Dists_02-07'!I15)-1))</f>
        <v>1.6216216216216273E-2</v>
      </c>
      <c r="K15" s="39">
        <f>IF(('Cy11_2020_44Dists_02-07'!K15=0),(0),(('Cy11_2045_44Dists_02-07'!K15/'Cy11_2020_44Dists_02-07'!K15)-1))</f>
        <v>8.9023501897787849E-2</v>
      </c>
      <c r="L15" s="40">
        <f>IF(('Cy11_2020_44Dists_02-07'!L15=0),(0),(('Cy11_2045_44Dists_02-07'!L15/'Cy11_2020_44Dists_02-07'!L15)-1))</f>
        <v>0</v>
      </c>
      <c r="M15" s="40">
        <f>IF(('Cy11_2020_44Dists_02-07'!M15=0),(0),(('Cy11_2045_44Dists_02-07'!M15/'Cy11_2020_44Dists_02-07'!M15)-1))</f>
        <v>0.14290110160625269</v>
      </c>
      <c r="N15" s="40">
        <f>IF(('Cy11_2020_44Dists_02-07'!N15=0),(0),(('Cy11_2045_44Dists_02-07'!N15/'Cy11_2020_44Dists_02-07'!N15)-1))</f>
        <v>0.123101518784972</v>
      </c>
      <c r="O15" s="41">
        <f>IF(('Cy11_2020_44Dists_02-07'!O15=0),(0),(('Cy11_2045_44Dists_02-07'!O15/'Cy11_2020_44Dists_02-07'!O15)-1))</f>
        <v>1.7629379437311021E-2</v>
      </c>
    </row>
    <row r="16" spans="2:15" ht="15" customHeight="1">
      <c r="B16" s="16">
        <v>9</v>
      </c>
      <c r="C16" s="17" t="s">
        <v>31</v>
      </c>
      <c r="E16" s="39">
        <f>IF(('Cy11_2020_44Dists_02-07'!E16=0),(0),(('Cy11_2045_44Dists_02-07'!E16/'Cy11_2020_44Dists_02-07'!E16)-1))</f>
        <v>8.312517346655568E-2</v>
      </c>
      <c r="F16" s="40">
        <f>IF(('Cy11_2020_44Dists_02-07'!F16=0),(0),(('Cy11_2045_44Dists_02-07'!F16/'Cy11_2020_44Dists_02-07'!F16)-1))</f>
        <v>-0.53625377643504524</v>
      </c>
      <c r="G16" s="40">
        <f>IF(('Cy11_2020_44Dists_02-07'!G16=0),(0),(('Cy11_2045_44Dists_02-07'!G16/'Cy11_2020_44Dists_02-07'!G16)-1))</f>
        <v>8.4724005134788172E-2</v>
      </c>
      <c r="H16" s="40">
        <f>IF(('Cy11_2020_44Dists_02-07'!H16=0),(0),(('Cy11_2045_44Dists_02-07'!H16/'Cy11_2020_44Dists_02-07'!H16)-1))</f>
        <v>0.14180053160753503</v>
      </c>
      <c r="I16" s="41">
        <f>IF(('Cy11_2020_44Dists_02-07'!I16=0),(0),(('Cy11_2045_44Dists_02-07'!I16/'Cy11_2020_44Dists_02-07'!I16)-1))</f>
        <v>-3.3277870216306127E-3</v>
      </c>
      <c r="K16" s="39">
        <f>IF(('Cy11_2020_44Dists_02-07'!K16=0),(0),(('Cy11_2045_44Dists_02-07'!K16/'Cy11_2020_44Dists_02-07'!K16)-1))</f>
        <v>0.19706231183286205</v>
      </c>
      <c r="L16" s="40">
        <f>IF(('Cy11_2020_44Dists_02-07'!L16=0),(0),(('Cy11_2045_44Dists_02-07'!L16/'Cy11_2020_44Dists_02-07'!L16)-1))</f>
        <v>0</v>
      </c>
      <c r="M16" s="40">
        <f>IF(('Cy11_2020_44Dists_02-07'!M16=0),(0),(('Cy11_2045_44Dists_02-07'!M16/'Cy11_2020_44Dists_02-07'!M16)-1))</f>
        <v>0.19968567994822961</v>
      </c>
      <c r="N16" s="40">
        <f>IF(('Cy11_2020_44Dists_02-07'!N16=0),(0),(('Cy11_2045_44Dists_02-07'!N16/'Cy11_2020_44Dists_02-07'!N16)-1))</f>
        <v>0.15467219291635259</v>
      </c>
      <c r="O16" s="41">
        <f>IF(('Cy11_2020_44Dists_02-07'!O16=0),(0),(('Cy11_2045_44Dists_02-07'!O16/'Cy11_2020_44Dists_02-07'!O16)-1))</f>
        <v>3.8983780252113576E-2</v>
      </c>
    </row>
    <row r="17" spans="2:15" ht="15" customHeight="1">
      <c r="B17" s="16">
        <v>10</v>
      </c>
      <c r="C17" s="17" t="s">
        <v>32</v>
      </c>
      <c r="E17" s="39">
        <f>IF(('Cy11_2020_44Dists_02-07'!E17=0),(0),(('Cy11_2045_44Dists_02-07'!E17/'Cy11_2020_44Dists_02-07'!E17)-1))</f>
        <v>-2.7112848070346862E-2</v>
      </c>
      <c r="F17" s="40">
        <f>IF(('Cy11_2020_44Dists_02-07'!F17=0),(0),(('Cy11_2045_44Dists_02-07'!F17/'Cy11_2020_44Dists_02-07'!F17)-1))</f>
        <v>-0.39583333333333337</v>
      </c>
      <c r="G17" s="40">
        <f>IF(('Cy11_2020_44Dists_02-07'!G17=0),(0),(('Cy11_2045_44Dists_02-07'!G17/'Cy11_2020_44Dists_02-07'!G17)-1))</f>
        <v>-6.8632189463508908E-2</v>
      </c>
      <c r="H17" s="40">
        <f>IF(('Cy11_2020_44Dists_02-07'!H17=0),(0),(('Cy11_2045_44Dists_02-07'!H17/'Cy11_2020_44Dists_02-07'!H17)-1))</f>
        <v>-1.7804667242869443E-2</v>
      </c>
      <c r="I17" s="41">
        <f>IF(('Cy11_2020_44Dists_02-07'!I17=0),(0),(('Cy11_2045_44Dists_02-07'!I17/'Cy11_2020_44Dists_02-07'!I17)-1))</f>
        <v>0.25630252100840334</v>
      </c>
      <c r="K17" s="39">
        <f>IF(('Cy11_2020_44Dists_02-07'!K17=0),(0),(('Cy11_2045_44Dists_02-07'!K17/'Cy11_2020_44Dists_02-07'!K17)-1))</f>
        <v>0.20139041346505682</v>
      </c>
      <c r="L17" s="40">
        <f>IF(('Cy11_2020_44Dists_02-07'!L17=0),(0),(('Cy11_2045_44Dists_02-07'!L17/'Cy11_2020_44Dists_02-07'!L17)-1))</f>
        <v>0</v>
      </c>
      <c r="M17" s="40">
        <f>IF(('Cy11_2020_44Dists_02-07'!M17=0),(0),(('Cy11_2045_44Dists_02-07'!M17/'Cy11_2020_44Dists_02-07'!M17)-1))</f>
        <v>0.21179005694936115</v>
      </c>
      <c r="N17" s="40">
        <f>IF(('Cy11_2020_44Dists_02-07'!N17=0),(0),(('Cy11_2045_44Dists_02-07'!N17/'Cy11_2020_44Dists_02-07'!N17)-1))</f>
        <v>0.14371818912402889</v>
      </c>
      <c r="O17" s="41">
        <f>IF(('Cy11_2020_44Dists_02-07'!O17=0),(0),(('Cy11_2045_44Dists_02-07'!O17/'Cy11_2020_44Dists_02-07'!O17)-1))</f>
        <v>5.9518042532372695E-2</v>
      </c>
    </row>
    <row r="18" spans="2:15" ht="15" customHeight="1">
      <c r="B18" s="16">
        <v>11</v>
      </c>
      <c r="C18" s="17" t="s">
        <v>33</v>
      </c>
      <c r="E18" s="39">
        <f>IF(('Cy11_2020_44Dists_02-07'!E18=0),(0),(('Cy11_2045_44Dists_02-07'!E18/'Cy11_2020_44Dists_02-07'!E18)-1))</f>
        <v>2.6443251734520334E-2</v>
      </c>
      <c r="F18" s="40">
        <f>IF(('Cy11_2020_44Dists_02-07'!F18=0),(0),(('Cy11_2045_44Dists_02-07'!F18/'Cy11_2020_44Dists_02-07'!F18)-1))</f>
        <v>-0.27699530516431925</v>
      </c>
      <c r="G18" s="40">
        <f>IF(('Cy11_2020_44Dists_02-07'!G18=0),(0),(('Cy11_2045_44Dists_02-07'!G18/'Cy11_2020_44Dists_02-07'!G18)-1))</f>
        <v>-4.7583270723766669E-3</v>
      </c>
      <c r="H18" s="40">
        <f>IF(('Cy11_2020_44Dists_02-07'!H18=0),(0),(('Cy11_2045_44Dists_02-07'!H18/'Cy11_2020_44Dists_02-07'!H18)-1))</f>
        <v>8.2721814543028627E-2</v>
      </c>
      <c r="I18" s="41">
        <f>IF(('Cy11_2020_44Dists_02-07'!I18=0),(0),(('Cy11_2045_44Dists_02-07'!I18/'Cy11_2020_44Dists_02-07'!I18)-1))</f>
        <v>7.3563218390804597E-2</v>
      </c>
      <c r="K18" s="39">
        <f>IF(('Cy11_2020_44Dists_02-07'!K18=0),(0),(('Cy11_2045_44Dists_02-07'!K18/'Cy11_2020_44Dists_02-07'!K18)-1))</f>
        <v>6.8801191362620973E-2</v>
      </c>
      <c r="L18" s="40">
        <f>IF(('Cy11_2020_44Dists_02-07'!L18=0),(0),(('Cy11_2045_44Dists_02-07'!L18/'Cy11_2020_44Dists_02-07'!L18)-1))</f>
        <v>0</v>
      </c>
      <c r="M18" s="40">
        <f>IF(('Cy11_2020_44Dists_02-07'!M18=0),(0),(('Cy11_2045_44Dists_02-07'!M18/'Cy11_2020_44Dists_02-07'!M18)-1))</f>
        <v>6.9130629956606349E-2</v>
      </c>
      <c r="N18" s="40">
        <f>IF(('Cy11_2020_44Dists_02-07'!N18=0),(0),(('Cy11_2045_44Dists_02-07'!N18/'Cy11_2020_44Dists_02-07'!N18)-1))</f>
        <v>8.0966372837087741E-2</v>
      </c>
      <c r="O18" s="41">
        <f>IF(('Cy11_2020_44Dists_02-07'!O18=0),(0),(('Cy11_2045_44Dists_02-07'!O18/'Cy11_2020_44Dists_02-07'!O18)-1))</f>
        <v>-1.094922393322717E-2</v>
      </c>
    </row>
    <row r="19" spans="2:15" ht="15" customHeight="1">
      <c r="B19" s="16">
        <v>12</v>
      </c>
      <c r="C19" s="17" t="s">
        <v>34</v>
      </c>
      <c r="E19" s="39">
        <f>IF(('Cy11_2020_44Dists_02-07'!E19=0),(0),(('Cy11_2045_44Dists_02-07'!E19/'Cy11_2020_44Dists_02-07'!E19)-1))</f>
        <v>0.1396598098268742</v>
      </c>
      <c r="F19" s="40">
        <f>IF(('Cy11_2020_44Dists_02-07'!F19=0),(0),(('Cy11_2045_44Dists_02-07'!F19/'Cy11_2020_44Dists_02-07'!F19)-1))</f>
        <v>-0.52851323828920571</v>
      </c>
      <c r="G19" s="40">
        <f>IF(('Cy11_2020_44Dists_02-07'!G19=0),(0),(('Cy11_2045_44Dists_02-07'!G19/'Cy11_2020_44Dists_02-07'!G19)-1))</f>
        <v>0.18605398457583555</v>
      </c>
      <c r="H19" s="40">
        <f>IF(('Cy11_2020_44Dists_02-07'!H19=0),(0),(('Cy11_2045_44Dists_02-07'!H19/'Cy11_2020_44Dists_02-07'!H19)-1))</f>
        <v>0.14569617866249085</v>
      </c>
      <c r="I19" s="41">
        <f>IF(('Cy11_2020_44Dists_02-07'!I19=0),(0),(('Cy11_2045_44Dists_02-07'!I19/'Cy11_2020_44Dists_02-07'!I19)-1))</f>
        <v>8.1967213114753079E-3</v>
      </c>
      <c r="K19" s="39">
        <f>IF(('Cy11_2020_44Dists_02-07'!K19=0),(0),(('Cy11_2045_44Dists_02-07'!K19/'Cy11_2020_44Dists_02-07'!K19)-1))</f>
        <v>0.55141612200435719</v>
      </c>
      <c r="L19" s="40">
        <f>IF(('Cy11_2020_44Dists_02-07'!L19=0),(0),(('Cy11_2045_44Dists_02-07'!L19/'Cy11_2020_44Dists_02-07'!L19)-1))</f>
        <v>0</v>
      </c>
      <c r="M19" s="40">
        <f>IF(('Cy11_2020_44Dists_02-07'!M19=0),(0),(('Cy11_2045_44Dists_02-07'!M19/'Cy11_2020_44Dists_02-07'!M19)-1))</f>
        <v>0.74266431924882625</v>
      </c>
      <c r="N19" s="40">
        <f>IF(('Cy11_2020_44Dists_02-07'!N19=0),(0),(('Cy11_2045_44Dists_02-07'!N19/'Cy11_2020_44Dists_02-07'!N19)-1))</f>
        <v>0.68152031454783746</v>
      </c>
      <c r="O19" s="41">
        <f>IF(('Cy11_2020_44Dists_02-07'!O19=0),(0),(('Cy11_2045_44Dists_02-07'!O19/'Cy11_2020_44Dists_02-07'!O19)-1))</f>
        <v>3.6362334829972198E-2</v>
      </c>
    </row>
    <row r="20" spans="2:15" ht="15" customHeight="1">
      <c r="B20" s="16">
        <v>13</v>
      </c>
      <c r="C20" s="17" t="s">
        <v>35</v>
      </c>
      <c r="E20" s="39">
        <f>IF(('Cy11_2020_44Dists_02-07'!E20=0),(0),(('Cy11_2045_44Dists_02-07'!E20/'Cy11_2020_44Dists_02-07'!E20)-1))</f>
        <v>8.4302325581395277E-2</v>
      </c>
      <c r="F20" s="40">
        <f>IF(('Cy11_2020_44Dists_02-07'!F20=0),(0),(('Cy11_2045_44Dists_02-07'!F20/'Cy11_2020_44Dists_02-07'!F20)-1))</f>
        <v>-0.407744874715262</v>
      </c>
      <c r="G20" s="40">
        <f>IF(('Cy11_2020_44Dists_02-07'!G20=0),(0),(('Cy11_2045_44Dists_02-07'!G20/'Cy11_2020_44Dists_02-07'!G20)-1))</f>
        <v>5.727554179566563E-2</v>
      </c>
      <c r="H20" s="40">
        <f>IF(('Cy11_2020_44Dists_02-07'!H20=0),(0),(('Cy11_2045_44Dists_02-07'!H20/'Cy11_2020_44Dists_02-07'!H20)-1))</f>
        <v>0.1135412931755706</v>
      </c>
      <c r="I20" s="41">
        <f>IF(('Cy11_2020_44Dists_02-07'!I20=0),(0),(('Cy11_2045_44Dists_02-07'!I20/'Cy11_2020_44Dists_02-07'!I20)-1))</f>
        <v>0.11261261261261257</v>
      </c>
      <c r="K20" s="39">
        <f>IF(('Cy11_2020_44Dists_02-07'!K20=0),(0),(('Cy11_2045_44Dists_02-07'!K20/'Cy11_2020_44Dists_02-07'!K20)-1))</f>
        <v>7.9628305932809118E-2</v>
      </c>
      <c r="L20" s="40">
        <f>IF(('Cy11_2020_44Dists_02-07'!L20=0),(0),(('Cy11_2045_44Dists_02-07'!L20/'Cy11_2020_44Dists_02-07'!L20)-1))</f>
        <v>0</v>
      </c>
      <c r="M20" s="40">
        <f>IF(('Cy11_2020_44Dists_02-07'!M20=0),(0),(('Cy11_2045_44Dists_02-07'!M20/'Cy11_2020_44Dists_02-07'!M20)-1))</f>
        <v>8.5337827485828077E-2</v>
      </c>
      <c r="N20" s="40">
        <f>IF(('Cy11_2020_44Dists_02-07'!N20=0),(0),(('Cy11_2045_44Dists_02-07'!N20/'Cy11_2020_44Dists_02-07'!N20)-1))</f>
        <v>0.13991416309012883</v>
      </c>
      <c r="O20" s="41">
        <f>IF(('Cy11_2020_44Dists_02-07'!O20=0),(0),(('Cy11_2045_44Dists_02-07'!O20/'Cy11_2020_44Dists_02-07'!O20)-1))</f>
        <v>-4.787758356853189E-2</v>
      </c>
    </row>
    <row r="21" spans="2:15" ht="15" customHeight="1">
      <c r="B21" s="16">
        <v>14</v>
      </c>
      <c r="C21" s="17" t="s">
        <v>36</v>
      </c>
      <c r="E21" s="39">
        <f>IF(('Cy11_2020_44Dists_02-07'!E21=0),(0),(('Cy11_2045_44Dists_02-07'!E21/'Cy11_2020_44Dists_02-07'!E21)-1))</f>
        <v>0.36716417910447752</v>
      </c>
      <c r="F21" s="40">
        <f>IF(('Cy11_2020_44Dists_02-07'!F21=0),(0),(('Cy11_2045_44Dists_02-07'!F21/'Cy11_2020_44Dists_02-07'!F21)-1))</f>
        <v>-0.41588785046728971</v>
      </c>
      <c r="G21" s="40">
        <f>IF(('Cy11_2020_44Dists_02-07'!G21=0),(0),(('Cy11_2045_44Dists_02-07'!G21/'Cy11_2020_44Dists_02-07'!G21)-1))</f>
        <v>0.4990138067061145</v>
      </c>
      <c r="H21" s="40">
        <f>IF(('Cy11_2020_44Dists_02-07'!H21=0),(0),(('Cy11_2045_44Dists_02-07'!H21/'Cy11_2020_44Dists_02-07'!H21)-1))</f>
        <v>0.46768802228412265</v>
      </c>
      <c r="I21" s="41">
        <f>IF(('Cy11_2020_44Dists_02-07'!I21=0),(0),(('Cy11_2045_44Dists_02-07'!I21/'Cy11_2020_44Dists_02-07'!I21)-1))</f>
        <v>-5.7012542759407037E-3</v>
      </c>
      <c r="K21" s="39">
        <f>IF(('Cy11_2020_44Dists_02-07'!K21=0),(0),(('Cy11_2045_44Dists_02-07'!K21/'Cy11_2020_44Dists_02-07'!K21)-1))</f>
        <v>1.7296248382923674</v>
      </c>
      <c r="L21" s="40">
        <f>IF(('Cy11_2020_44Dists_02-07'!L21=0),(0),(('Cy11_2045_44Dists_02-07'!L21/'Cy11_2020_44Dists_02-07'!L21)-1))</f>
        <v>0</v>
      </c>
      <c r="M21" s="40">
        <f>IF(('Cy11_2020_44Dists_02-07'!M21=0),(0),(('Cy11_2045_44Dists_02-07'!M21/'Cy11_2020_44Dists_02-07'!M21)-1))</f>
        <v>1.7592105263157896</v>
      </c>
      <c r="N21" s="40">
        <f>IF(('Cy11_2020_44Dists_02-07'!N21=0),(0),(('Cy11_2045_44Dists_02-07'!N21/'Cy11_2020_44Dists_02-07'!N21)-1))</f>
        <v>2.2975206611570247</v>
      </c>
      <c r="O21" s="41">
        <f>IF(('Cy11_2020_44Dists_02-07'!O21=0),(0),(('Cy11_2045_44Dists_02-07'!O21/'Cy11_2020_44Dists_02-07'!O21)-1))</f>
        <v>-0.16324693312227934</v>
      </c>
    </row>
    <row r="22" spans="2:15" ht="15" customHeight="1">
      <c r="B22" s="16">
        <v>15</v>
      </c>
      <c r="C22" s="17" t="s">
        <v>37</v>
      </c>
      <c r="E22" s="39">
        <f>IF(('Cy11_2020_44Dists_02-07'!E22=0),(0),(('Cy11_2045_44Dists_02-07'!E22/'Cy11_2020_44Dists_02-07'!E22)-1))</f>
        <v>7.6435045317220451E-2</v>
      </c>
      <c r="F22" s="40">
        <f>IF(('Cy11_2020_44Dists_02-07'!F22=0),(0),(('Cy11_2045_44Dists_02-07'!F22/'Cy11_2020_44Dists_02-07'!F22)-1))</f>
        <v>-0.45804988662131518</v>
      </c>
      <c r="G22" s="40">
        <f>IF(('Cy11_2020_44Dists_02-07'!G22=0),(0),(('Cy11_2045_44Dists_02-07'!G22/'Cy11_2020_44Dists_02-07'!G22)-1))</f>
        <v>7.4855392990813119E-2</v>
      </c>
      <c r="H22" s="40">
        <f>IF(('Cy11_2020_44Dists_02-07'!H22=0),(0),(('Cy11_2045_44Dists_02-07'!H22/'Cy11_2020_44Dists_02-07'!H22)-1))</f>
        <v>0.1326232501521607</v>
      </c>
      <c r="I22" s="41">
        <f>IF(('Cy11_2020_44Dists_02-07'!I22=0),(0),(('Cy11_2045_44Dists_02-07'!I22/'Cy11_2020_44Dists_02-07'!I22)-1))</f>
        <v>-8.8781275221953004E-3</v>
      </c>
      <c r="K22" s="39">
        <f>IF(('Cy11_2020_44Dists_02-07'!K22=0),(0),(('Cy11_2045_44Dists_02-07'!K22/'Cy11_2020_44Dists_02-07'!K22)-1))</f>
        <v>0.11809709278063707</v>
      </c>
      <c r="L22" s="40">
        <f>IF(('Cy11_2020_44Dists_02-07'!L22=0),(0),(('Cy11_2045_44Dists_02-07'!L22/'Cy11_2020_44Dists_02-07'!L22)-1))</f>
        <v>0</v>
      </c>
      <c r="M22" s="40">
        <f>IF(('Cy11_2020_44Dists_02-07'!M22=0),(0),(('Cy11_2045_44Dists_02-07'!M22/'Cy11_2020_44Dists_02-07'!M22)-1))</f>
        <v>0.11958083326290891</v>
      </c>
      <c r="N22" s="40">
        <f>IF(('Cy11_2020_44Dists_02-07'!N22=0),(0),(('Cy11_2045_44Dists_02-07'!N22/'Cy11_2020_44Dists_02-07'!N22)-1))</f>
        <v>0.14122777591412272</v>
      </c>
      <c r="O22" s="41">
        <f>IF(('Cy11_2020_44Dists_02-07'!O22=0),(0),(('Cy11_2045_44Dists_02-07'!O22/'Cy11_2020_44Dists_02-07'!O22)-1))</f>
        <v>-1.896811759061412E-2</v>
      </c>
    </row>
    <row r="23" spans="2:15" ht="15" customHeight="1">
      <c r="B23" s="16">
        <v>16</v>
      </c>
      <c r="C23" s="17" t="s">
        <v>38</v>
      </c>
      <c r="E23" s="39">
        <f>IF(('Cy11_2020_44Dists_02-07'!E23=0),(0),(('Cy11_2045_44Dists_02-07'!E23/'Cy11_2020_44Dists_02-07'!E23)-1))</f>
        <v>6.0580912863070546E-2</v>
      </c>
      <c r="F23" s="40">
        <f>IF(('Cy11_2020_44Dists_02-07'!F23=0),(0),(('Cy11_2045_44Dists_02-07'!F23/'Cy11_2020_44Dists_02-07'!F23)-1))</f>
        <v>-0.60215053763440862</v>
      </c>
      <c r="G23" s="40">
        <f>IF(('Cy11_2020_44Dists_02-07'!G23=0),(0),(('Cy11_2045_44Dists_02-07'!G23/'Cy11_2020_44Dists_02-07'!G23)-1))</f>
        <v>6.7226890756302504E-2</v>
      </c>
      <c r="H23" s="40">
        <f>IF(('Cy11_2020_44Dists_02-07'!H23=0),(0),(('Cy11_2045_44Dists_02-07'!H23/'Cy11_2020_44Dists_02-07'!H23)-1))</f>
        <v>0.13815789473684204</v>
      </c>
      <c r="I23" s="41">
        <f>IF(('Cy11_2020_44Dists_02-07'!I23=0),(0),(('Cy11_2045_44Dists_02-07'!I23/'Cy11_2020_44Dists_02-07'!I23)-1))</f>
        <v>6.8669527896995763E-2</v>
      </c>
      <c r="K23" s="39">
        <f>IF(('Cy11_2020_44Dists_02-07'!K23=0),(0),(('Cy11_2045_44Dists_02-07'!K23/'Cy11_2020_44Dists_02-07'!K23)-1))</f>
        <v>0.14344515332372909</v>
      </c>
      <c r="L23" s="40">
        <f>IF(('Cy11_2020_44Dists_02-07'!L23=0),(0),(('Cy11_2045_44Dists_02-07'!L23/'Cy11_2020_44Dists_02-07'!L23)-1))</f>
        <v>0</v>
      </c>
      <c r="M23" s="40">
        <f>IF(('Cy11_2020_44Dists_02-07'!M23=0),(0),(('Cy11_2045_44Dists_02-07'!M23/'Cy11_2020_44Dists_02-07'!M23)-1))</f>
        <v>0.14344515332372909</v>
      </c>
      <c r="N23" s="40">
        <f>IF(('Cy11_2020_44Dists_02-07'!N23=0),(0),(('Cy11_2045_44Dists_02-07'!N23/'Cy11_2020_44Dists_02-07'!N23)-1))</f>
        <v>0.13157894736842102</v>
      </c>
      <c r="O23" s="41">
        <f>IF(('Cy11_2020_44Dists_02-07'!O23=0),(0),(('Cy11_2045_44Dists_02-07'!O23/'Cy11_2020_44Dists_02-07'!O23)-1))</f>
        <v>1.0486414565155977E-2</v>
      </c>
    </row>
    <row r="24" spans="2:15" ht="15" customHeight="1">
      <c r="B24" s="16">
        <v>17</v>
      </c>
      <c r="C24" s="17" t="s">
        <v>39</v>
      </c>
      <c r="E24" s="39">
        <f>IF(('Cy11_2020_44Dists_02-07'!E24=0),(0),(('Cy11_2045_44Dists_02-07'!E24/'Cy11_2020_44Dists_02-07'!E24)-1))</f>
        <v>5.302713987473906E-2</v>
      </c>
      <c r="F24" s="40">
        <f>IF(('Cy11_2020_44Dists_02-07'!F24=0),(0),(('Cy11_2045_44Dists_02-07'!F24/'Cy11_2020_44Dists_02-07'!F24)-1))</f>
        <v>-0.17772511848341233</v>
      </c>
      <c r="G24" s="40">
        <f>IF(('Cy11_2020_44Dists_02-07'!G24=0),(0),(('Cy11_2045_44Dists_02-07'!G24/'Cy11_2020_44Dists_02-07'!G24)-1))</f>
        <v>1.6571583808747681E-2</v>
      </c>
      <c r="H24" s="40">
        <f>IF(('Cy11_2020_44Dists_02-07'!H24=0),(0),(('Cy11_2045_44Dists_02-07'!H24/'Cy11_2020_44Dists_02-07'!H24)-1))</f>
        <v>0.10700102956317115</v>
      </c>
      <c r="I24" s="41">
        <f>IF(('Cy11_2020_44Dists_02-07'!I24=0),(0),(('Cy11_2045_44Dists_02-07'!I24/'Cy11_2020_44Dists_02-07'!I24)-1))</f>
        <v>-2.8207109737248826E-2</v>
      </c>
      <c r="K24" s="39">
        <f>IF(('Cy11_2020_44Dists_02-07'!K24=0),(0),(('Cy11_2045_44Dists_02-07'!K24/'Cy11_2020_44Dists_02-07'!K24)-1))</f>
        <v>4.8476454293628901E-2</v>
      </c>
      <c r="L24" s="40">
        <f>IF(('Cy11_2020_44Dists_02-07'!L24=0),(0),(('Cy11_2045_44Dists_02-07'!L24/'Cy11_2020_44Dists_02-07'!L24)-1))</f>
        <v>0</v>
      </c>
      <c r="M24" s="40">
        <f>IF(('Cy11_2020_44Dists_02-07'!M24=0),(0),(('Cy11_2045_44Dists_02-07'!M24/'Cy11_2020_44Dists_02-07'!M24)-1))</f>
        <v>4.8861911987860385E-2</v>
      </c>
      <c r="N24" s="40">
        <f>IF(('Cy11_2020_44Dists_02-07'!N24=0),(0),(('Cy11_2045_44Dists_02-07'!N24/'Cy11_2020_44Dists_02-07'!N24)-1))</f>
        <v>9.2256489904592787E-2</v>
      </c>
      <c r="O24" s="41">
        <f>IF(('Cy11_2020_44Dists_02-07'!O24=0),(0),(('Cy11_2045_44Dists_02-07'!O24/'Cy11_2020_44Dists_02-07'!O24)-1))</f>
        <v>-3.9729292815209538E-2</v>
      </c>
    </row>
    <row r="25" spans="2:15" ht="15" customHeight="1">
      <c r="B25" s="16">
        <v>18</v>
      </c>
      <c r="C25" s="17" t="s">
        <v>40</v>
      </c>
      <c r="E25" s="39">
        <f>IF(('Cy11_2020_44Dists_02-07'!E25=0),(0),(('Cy11_2045_44Dists_02-07'!E25/'Cy11_2020_44Dists_02-07'!E25)-1))</f>
        <v>0.15444141689373292</v>
      </c>
      <c r="F25" s="40">
        <f>IF(('Cy11_2020_44Dists_02-07'!F25=0),(0),(('Cy11_2045_44Dists_02-07'!F25/'Cy11_2020_44Dists_02-07'!F25)-1))</f>
        <v>-0.18665464382326424</v>
      </c>
      <c r="G25" s="40">
        <f>IF(('Cy11_2020_44Dists_02-07'!G25=0),(0),(('Cy11_2045_44Dists_02-07'!G25/'Cy11_2020_44Dists_02-07'!G25)-1))</f>
        <v>0.1653196179279941</v>
      </c>
      <c r="H25" s="40">
        <f>IF(('Cy11_2020_44Dists_02-07'!H25=0),(0),(('Cy11_2045_44Dists_02-07'!H25/'Cy11_2020_44Dists_02-07'!H25)-1))</f>
        <v>0.27334722485319185</v>
      </c>
      <c r="I25" s="41">
        <f>IF(('Cy11_2020_44Dists_02-07'!I25=0),(0),(('Cy11_2045_44Dists_02-07'!I25/'Cy11_2020_44Dists_02-07'!I25)-1))</f>
        <v>-3.0855539971949564E-2</v>
      </c>
      <c r="K25" s="39">
        <f>IF(('Cy11_2020_44Dists_02-07'!K25=0),(0),(('Cy11_2045_44Dists_02-07'!K25/'Cy11_2020_44Dists_02-07'!K25)-1))</f>
        <v>0.15349797219003469</v>
      </c>
      <c r="L25" s="40">
        <f>IF(('Cy11_2020_44Dists_02-07'!L25=0),(0),(('Cy11_2045_44Dists_02-07'!L25/'Cy11_2020_44Dists_02-07'!L25)-1))</f>
        <v>0</v>
      </c>
      <c r="M25" s="40">
        <f>IF(('Cy11_2020_44Dists_02-07'!M25=0),(0),(('Cy11_2045_44Dists_02-07'!M25/'Cy11_2020_44Dists_02-07'!M25)-1))</f>
        <v>0.15426886964116737</v>
      </c>
      <c r="N25" s="40">
        <f>IF(('Cy11_2020_44Dists_02-07'!N25=0),(0),(('Cy11_2045_44Dists_02-07'!N25/'Cy11_2020_44Dists_02-07'!N25)-1))</f>
        <v>0.19494778184414896</v>
      </c>
      <c r="O25" s="41">
        <f>IF(('Cy11_2020_44Dists_02-07'!O25=0),(0),(('Cy11_2045_44Dists_02-07'!O25/'Cy11_2020_44Dists_02-07'!O25)-1))</f>
        <v>-3.4042418272204555E-2</v>
      </c>
    </row>
    <row r="26" spans="2:15" ht="15" customHeight="1">
      <c r="B26" s="16">
        <v>19</v>
      </c>
      <c r="C26" s="17" t="s">
        <v>41</v>
      </c>
      <c r="E26" s="39">
        <f>IF(('Cy11_2020_44Dists_02-07'!E26=0),(0),(('Cy11_2045_44Dists_02-07'!E26/'Cy11_2020_44Dists_02-07'!E26)-1))</f>
        <v>2.3372243155648009E-2</v>
      </c>
      <c r="F26" s="40">
        <f>IF(('Cy11_2020_44Dists_02-07'!F26=0),(0),(('Cy11_2045_44Dists_02-07'!F26/'Cy11_2020_44Dists_02-07'!F26)-1))</f>
        <v>-0.24556213017751483</v>
      </c>
      <c r="G26" s="40">
        <f>IF(('Cy11_2020_44Dists_02-07'!G26=0),(0),(('Cy11_2045_44Dists_02-07'!G26/'Cy11_2020_44Dists_02-07'!G26)-1))</f>
        <v>-2.7705124479318055E-2</v>
      </c>
      <c r="H26" s="40">
        <f>IF(('Cy11_2020_44Dists_02-07'!H26=0),(0),(('Cy11_2045_44Dists_02-07'!H26/'Cy11_2020_44Dists_02-07'!H26)-1))</f>
        <v>6.3163637889788848E-2</v>
      </c>
      <c r="I26" s="41">
        <f>IF(('Cy11_2020_44Dists_02-07'!I26=0),(0),(('Cy11_2045_44Dists_02-07'!I26/'Cy11_2020_44Dists_02-07'!I26)-1))</f>
        <v>-5.3119999999999945E-2</v>
      </c>
      <c r="K26" s="39">
        <f>IF(('Cy11_2020_44Dists_02-07'!K26=0),(0),(('Cy11_2045_44Dists_02-07'!K26/'Cy11_2020_44Dists_02-07'!K26)-1))</f>
        <v>7.9196249897201199E-2</v>
      </c>
      <c r="L26" s="40">
        <f>IF(('Cy11_2020_44Dists_02-07'!L26=0),(0),(('Cy11_2045_44Dists_02-07'!L26/'Cy11_2020_44Dists_02-07'!L26)-1))</f>
        <v>0</v>
      </c>
      <c r="M26" s="40">
        <f>IF(('Cy11_2020_44Dists_02-07'!M26=0),(0),(('Cy11_2045_44Dists_02-07'!M26/'Cy11_2020_44Dists_02-07'!M26)-1))</f>
        <v>8.0720871751885914E-2</v>
      </c>
      <c r="N26" s="40">
        <f>IF(('Cy11_2020_44Dists_02-07'!N26=0),(0),(('Cy11_2045_44Dists_02-07'!N26/'Cy11_2020_44Dists_02-07'!N26)-1))</f>
        <v>0.10676352093761454</v>
      </c>
      <c r="O26" s="41">
        <f>IF(('Cy11_2020_44Dists_02-07'!O26=0),(0),(('Cy11_2045_44Dists_02-07'!O26/'Cy11_2020_44Dists_02-07'!O26)-1))</f>
        <v>-2.3530454964458825E-2</v>
      </c>
    </row>
    <row r="27" spans="2:15" ht="15" customHeight="1">
      <c r="B27" s="16">
        <v>20</v>
      </c>
      <c r="C27" s="17" t="s">
        <v>42</v>
      </c>
      <c r="E27" s="39">
        <f>IF(('Cy11_2020_44Dists_02-07'!E27=0),(0),(('Cy11_2045_44Dists_02-07'!E27/'Cy11_2020_44Dists_02-07'!E27)-1))</f>
        <v>4.5434098065677109E-2</v>
      </c>
      <c r="F27" s="40">
        <f>IF(('Cy11_2020_44Dists_02-07'!F27=0),(0),(('Cy11_2045_44Dists_02-07'!F27/'Cy11_2020_44Dists_02-07'!F27)-1))</f>
        <v>-0.32587621178225201</v>
      </c>
      <c r="G27" s="40">
        <f>IF(('Cy11_2020_44Dists_02-07'!G27=0),(0),(('Cy11_2045_44Dists_02-07'!G27/'Cy11_2020_44Dists_02-07'!G27)-1))</f>
        <v>-1.3506493506493467E-2</v>
      </c>
      <c r="H27" s="40">
        <f>IF(('Cy11_2020_44Dists_02-07'!H27=0),(0),(('Cy11_2045_44Dists_02-07'!H27/'Cy11_2020_44Dists_02-07'!H27)-1))</f>
        <v>9.219858156028371E-2</v>
      </c>
      <c r="I27" s="41">
        <f>IF(('Cy11_2020_44Dists_02-07'!I27=0),(0),(('Cy11_2045_44Dists_02-07'!I27/'Cy11_2020_44Dists_02-07'!I27)-1))</f>
        <v>6.359300476947527E-2</v>
      </c>
      <c r="K27" s="39">
        <f>IF(('Cy11_2020_44Dists_02-07'!K27=0),(0),(('Cy11_2045_44Dists_02-07'!K27/'Cy11_2020_44Dists_02-07'!K27)-1))</f>
        <v>4.1052375880561209E-2</v>
      </c>
      <c r="L27" s="40">
        <f>IF(('Cy11_2020_44Dists_02-07'!L27=0),(0),(('Cy11_2045_44Dists_02-07'!L27/'Cy11_2020_44Dists_02-07'!L27)-1))</f>
        <v>0</v>
      </c>
      <c r="M27" s="40">
        <f>IF(('Cy11_2020_44Dists_02-07'!M27=0),(0),(('Cy11_2045_44Dists_02-07'!M27/'Cy11_2020_44Dists_02-07'!M27)-1))</f>
        <v>4.1451265989962627E-2</v>
      </c>
      <c r="N27" s="40">
        <f>IF(('Cy11_2020_44Dists_02-07'!N27=0),(0),(('Cy11_2045_44Dists_02-07'!N27/'Cy11_2020_44Dists_02-07'!N27)-1))</f>
        <v>7.9776013500556076E-2</v>
      </c>
      <c r="O27" s="41">
        <f>IF(('Cy11_2020_44Dists_02-07'!O27=0),(0),(('Cy11_2045_44Dists_02-07'!O27/'Cy11_2020_44Dists_02-07'!O27)-1))</f>
        <v>-3.5493238441505426E-2</v>
      </c>
    </row>
    <row r="28" spans="2:15" ht="15" customHeight="1">
      <c r="B28" s="16">
        <v>21</v>
      </c>
      <c r="C28" s="17" t="s">
        <v>43</v>
      </c>
      <c r="E28" s="39">
        <f>IF(('Cy11_2020_44Dists_02-07'!E28=0),(0),(('Cy11_2045_44Dists_02-07'!E28/'Cy11_2020_44Dists_02-07'!E28)-1))</f>
        <v>3.43732895457034E-2</v>
      </c>
      <c r="F28" s="40">
        <f>IF(('Cy11_2020_44Dists_02-07'!F28=0),(0),(('Cy11_2045_44Dists_02-07'!F28/'Cy11_2020_44Dists_02-07'!F28)-1))</f>
        <v>-0.30082987551867224</v>
      </c>
      <c r="G28" s="40">
        <f>IF(('Cy11_2020_44Dists_02-07'!G28=0),(0),(('Cy11_2045_44Dists_02-07'!G28/'Cy11_2020_44Dists_02-07'!G28)-1))</f>
        <v>5.4653679653679621E-2</v>
      </c>
      <c r="H28" s="40">
        <f>IF(('Cy11_2020_44Dists_02-07'!H28=0),(0),(('Cy11_2045_44Dists_02-07'!H28/'Cy11_2020_44Dists_02-07'!H28)-1))</f>
        <v>0.14548755186721984</v>
      </c>
      <c r="I28" s="41">
        <f>IF(('Cy11_2020_44Dists_02-07'!I28=0),(0),(('Cy11_2045_44Dists_02-07'!I28/'Cy11_2020_44Dists_02-07'!I28)-1))</f>
        <v>0.36924583741429973</v>
      </c>
      <c r="K28" s="39">
        <f>IF(('Cy11_2020_44Dists_02-07'!K28=0),(0),(('Cy11_2045_44Dists_02-07'!K28/'Cy11_2020_44Dists_02-07'!K28)-1))</f>
        <v>9.6783712009442358E-2</v>
      </c>
      <c r="L28" s="40">
        <f>IF(('Cy11_2020_44Dists_02-07'!L28=0),(0),(('Cy11_2045_44Dists_02-07'!L28/'Cy11_2020_44Dists_02-07'!L28)-1))</f>
        <v>0</v>
      </c>
      <c r="M28" s="40">
        <f>IF(('Cy11_2020_44Dists_02-07'!M28=0),(0),(('Cy11_2045_44Dists_02-07'!M28/'Cy11_2020_44Dists_02-07'!M28)-1))</f>
        <v>9.7248576850094803E-2</v>
      </c>
      <c r="N28" s="40">
        <f>IF(('Cy11_2020_44Dists_02-07'!N28=0),(0),(('Cy11_2045_44Dists_02-07'!N28/'Cy11_2020_44Dists_02-07'!N28)-1))</f>
        <v>9.1272485009993298E-2</v>
      </c>
      <c r="O28" s="41">
        <f>IF(('Cy11_2020_44Dists_02-07'!O28=0),(0),(('Cy11_2045_44Dists_02-07'!O28/'Cy11_2020_44Dists_02-07'!O28)-1))</f>
        <v>5.4762599829012437E-3</v>
      </c>
    </row>
    <row r="29" spans="2:15" ht="15" customHeight="1">
      <c r="B29" s="16">
        <v>22</v>
      </c>
      <c r="C29" s="17" t="s">
        <v>44</v>
      </c>
      <c r="E29" s="39">
        <f>IF(('Cy11_2020_44Dists_02-07'!E29=0),(0),(('Cy11_2045_44Dists_02-07'!E29/'Cy11_2020_44Dists_02-07'!E29)-1))</f>
        <v>5.0414648164873954E-2</v>
      </c>
      <c r="F29" s="40">
        <f>IF(('Cy11_2020_44Dists_02-07'!F29=0),(0),(('Cy11_2045_44Dists_02-07'!F29/'Cy11_2020_44Dists_02-07'!F29)-1))</f>
        <v>-0.21604938271604934</v>
      </c>
      <c r="G29" s="40">
        <f>IF(('Cy11_2020_44Dists_02-07'!G29=0),(0),(('Cy11_2045_44Dists_02-07'!G29/'Cy11_2020_44Dists_02-07'!G29)-1))</f>
        <v>5.0025012506254019E-3</v>
      </c>
      <c r="H29" s="40">
        <f>IF(('Cy11_2020_44Dists_02-07'!H29=0),(0),(('Cy11_2045_44Dists_02-07'!H29/'Cy11_2020_44Dists_02-07'!H29)-1))</f>
        <v>7.5929283771532186E-2</v>
      </c>
      <c r="I29" s="41">
        <f>IF(('Cy11_2020_44Dists_02-07'!I29=0),(0),(('Cy11_2045_44Dists_02-07'!I29/'Cy11_2020_44Dists_02-07'!I29)-1))</f>
        <v>4.482758620689653E-2</v>
      </c>
      <c r="K29" s="39">
        <f>IF(('Cy11_2020_44Dists_02-07'!K29=0),(0),(('Cy11_2045_44Dists_02-07'!K29/'Cy11_2020_44Dists_02-07'!K29)-1))</f>
        <v>2.8318264014466576E-2</v>
      </c>
      <c r="L29" s="40">
        <f>IF(('Cy11_2020_44Dists_02-07'!L29=0),(0),(('Cy11_2045_44Dists_02-07'!L29/'Cy11_2020_44Dists_02-07'!L29)-1))</f>
        <v>0</v>
      </c>
      <c r="M29" s="40">
        <f>IF(('Cy11_2020_44Dists_02-07'!M29=0),(0),(('Cy11_2045_44Dists_02-07'!M29/'Cy11_2020_44Dists_02-07'!M29)-1))</f>
        <v>2.9406241784654563E-2</v>
      </c>
      <c r="N29" s="40">
        <f>IF(('Cy11_2020_44Dists_02-07'!N29=0),(0),(('Cy11_2045_44Dists_02-07'!N29/'Cy11_2020_44Dists_02-07'!N29)-1))</f>
        <v>9.3398765236663017E-2</v>
      </c>
      <c r="O29" s="41">
        <f>IF(('Cy11_2020_44Dists_02-07'!O29=0),(0),(('Cy11_2045_44Dists_02-07'!O29/'Cy11_2020_44Dists_02-07'!O29)-1))</f>
        <v>-5.8526244483326439E-2</v>
      </c>
    </row>
    <row r="30" spans="2:15" ht="15" customHeight="1">
      <c r="B30" s="16">
        <v>23</v>
      </c>
      <c r="C30" s="17" t="s">
        <v>45</v>
      </c>
      <c r="E30" s="39">
        <f>IF(('Cy11_2020_44Dists_02-07'!E30=0),(0),(('Cy11_2045_44Dists_02-07'!E30/'Cy11_2020_44Dists_02-07'!E30)-1))</f>
        <v>4.3964519861164675E-2</v>
      </c>
      <c r="F30" s="40">
        <f>IF(('Cy11_2020_44Dists_02-07'!F30=0),(0),(('Cy11_2045_44Dists_02-07'!F30/'Cy11_2020_44Dists_02-07'!F30)-1))</f>
        <v>-0.27070063694267521</v>
      </c>
      <c r="G30" s="40">
        <f>IF(('Cy11_2020_44Dists_02-07'!G30=0),(0),(('Cy11_2045_44Dists_02-07'!G30/'Cy11_2020_44Dists_02-07'!G30)-1))</f>
        <v>2.9032258064516148E-2</v>
      </c>
      <c r="H30" s="40">
        <f>IF(('Cy11_2020_44Dists_02-07'!H30=0),(0),(('Cy11_2045_44Dists_02-07'!H30/'Cy11_2020_44Dists_02-07'!H30)-1))</f>
        <v>0.1480927449513838</v>
      </c>
      <c r="I30" s="41">
        <f>IF(('Cy11_2020_44Dists_02-07'!I30=0),(0),(('Cy11_2045_44Dists_02-07'!I30/'Cy11_2020_44Dists_02-07'!I30)-1))</f>
        <v>-1.2658227848101222E-2</v>
      </c>
      <c r="K30" s="39">
        <f>IF(('Cy11_2020_44Dists_02-07'!K30=0),(0),(('Cy11_2045_44Dists_02-07'!K30/'Cy11_2020_44Dists_02-07'!K30)-1))</f>
        <v>3.6417480390587453E-2</v>
      </c>
      <c r="L30" s="40">
        <f>IF(('Cy11_2020_44Dists_02-07'!L30=0),(0),(('Cy11_2045_44Dists_02-07'!L30/'Cy11_2020_44Dists_02-07'!L30)-1))</f>
        <v>0</v>
      </c>
      <c r="M30" s="40">
        <f>IF(('Cy11_2020_44Dists_02-07'!M30=0),(0),(('Cy11_2045_44Dists_02-07'!M30/'Cy11_2020_44Dists_02-07'!M30)-1))</f>
        <v>3.6655119632643229E-2</v>
      </c>
      <c r="N30" s="40">
        <f>IF(('Cy11_2020_44Dists_02-07'!N30=0),(0),(('Cy11_2045_44Dists_02-07'!N30/'Cy11_2020_44Dists_02-07'!N30)-1))</f>
        <v>7.8171872242809304E-2</v>
      </c>
      <c r="O30" s="41">
        <f>IF(('Cy11_2020_44Dists_02-07'!O30=0),(0),(('Cy11_2045_44Dists_02-07'!O30/'Cy11_2020_44Dists_02-07'!O30)-1))</f>
        <v>-3.8506618173782536E-2</v>
      </c>
    </row>
    <row r="31" spans="2:15" ht="15" customHeight="1">
      <c r="B31" s="16">
        <v>24</v>
      </c>
      <c r="C31" s="17" t="s">
        <v>46</v>
      </c>
      <c r="E31" s="39">
        <f>IF(('Cy11_2020_44Dists_02-07'!E31=0),(0),(('Cy11_2045_44Dists_02-07'!E31/'Cy11_2020_44Dists_02-07'!E31)-1))</f>
        <v>0.10905472636815916</v>
      </c>
      <c r="F31" s="40">
        <f>IF(('Cy11_2020_44Dists_02-07'!F31=0),(0),(('Cy11_2045_44Dists_02-07'!F31/'Cy11_2020_44Dists_02-07'!F31)-1))</f>
        <v>-0.22421524663677128</v>
      </c>
      <c r="G31" s="40">
        <f>IF(('Cy11_2020_44Dists_02-07'!G31=0),(0),(('Cy11_2045_44Dists_02-07'!G31/'Cy11_2020_44Dists_02-07'!G31)-1))</f>
        <v>8.2321187584345479E-2</v>
      </c>
      <c r="H31" s="40">
        <f>IF(('Cy11_2020_44Dists_02-07'!H31=0),(0),(('Cy11_2045_44Dists_02-07'!H31/'Cy11_2020_44Dists_02-07'!H31)-1))</f>
        <v>0.17063369397217931</v>
      </c>
      <c r="I31" s="41">
        <f>IF(('Cy11_2020_44Dists_02-07'!I31=0),(0),(('Cy11_2045_44Dists_02-07'!I31/'Cy11_2020_44Dists_02-07'!I31)-1))</f>
        <v>-1.8159806295399483E-2</v>
      </c>
      <c r="K31" s="39">
        <f>IF(('Cy11_2020_44Dists_02-07'!K31=0),(0),(('Cy11_2045_44Dists_02-07'!K31/'Cy11_2020_44Dists_02-07'!K31)-1))</f>
        <v>7.7556277298689746E-2</v>
      </c>
      <c r="L31" s="40">
        <f>IF(('Cy11_2020_44Dists_02-07'!L31=0),(0),(('Cy11_2045_44Dists_02-07'!L31/'Cy11_2020_44Dists_02-07'!L31)-1))</f>
        <v>0</v>
      </c>
      <c r="M31" s="40">
        <f>IF(('Cy11_2020_44Dists_02-07'!M31=0),(0),(('Cy11_2045_44Dists_02-07'!M31/'Cy11_2020_44Dists_02-07'!M31)-1))</f>
        <v>7.7651939896837829E-2</v>
      </c>
      <c r="N31" s="40">
        <f>IF(('Cy11_2020_44Dists_02-07'!N31=0),(0),(('Cy11_2045_44Dists_02-07'!N31/'Cy11_2020_44Dists_02-07'!N31)-1))</f>
        <v>0.119053876478318</v>
      </c>
      <c r="O31" s="41">
        <f>IF(('Cy11_2020_44Dists_02-07'!O31=0),(0),(('Cy11_2045_44Dists_02-07'!O31/'Cy11_2020_44Dists_02-07'!O31)-1))</f>
        <v>-3.6997268363675895E-2</v>
      </c>
    </row>
    <row r="32" spans="2:15" ht="15" customHeight="1">
      <c r="B32" s="16">
        <v>25</v>
      </c>
      <c r="C32" s="17" t="s">
        <v>47</v>
      </c>
      <c r="E32" s="39">
        <f>IF(('Cy11_2020_44Dists_02-07'!E32=0),(0),(('Cy11_2045_44Dists_02-07'!E32/'Cy11_2020_44Dists_02-07'!E32)-1))</f>
        <v>0.12275862068965515</v>
      </c>
      <c r="F32" s="40">
        <f>IF(('Cy11_2020_44Dists_02-07'!F32=0),(0),(('Cy11_2045_44Dists_02-07'!F32/'Cy11_2020_44Dists_02-07'!F32)-1))</f>
        <v>-0.2360248447204969</v>
      </c>
      <c r="G32" s="40">
        <f>IF(('Cy11_2020_44Dists_02-07'!G32=0),(0),(('Cy11_2045_44Dists_02-07'!G32/'Cy11_2020_44Dists_02-07'!G32)-1))</f>
        <v>7.2755417956656299E-2</v>
      </c>
      <c r="H32" s="40">
        <f>IF(('Cy11_2020_44Dists_02-07'!H32=0),(0),(('Cy11_2045_44Dists_02-07'!H32/'Cy11_2020_44Dists_02-07'!H32)-1))</f>
        <v>0.17411865864144449</v>
      </c>
      <c r="I32" s="41">
        <f>IF(('Cy11_2020_44Dists_02-07'!I32=0),(0),(('Cy11_2045_44Dists_02-07'!I32/'Cy11_2020_44Dists_02-07'!I32)-1))</f>
        <v>6.3008130081300795E-2</v>
      </c>
      <c r="K32" s="39">
        <f>IF(('Cy11_2020_44Dists_02-07'!K32=0),(0),(('Cy11_2045_44Dists_02-07'!K32/'Cy11_2020_44Dists_02-07'!K32)-1))</f>
        <v>7.0561919609571033E-2</v>
      </c>
      <c r="L32" s="40">
        <f>IF(('Cy11_2020_44Dists_02-07'!L32=0),(0),(('Cy11_2045_44Dists_02-07'!L32/'Cy11_2020_44Dists_02-07'!L32)-1))</f>
        <v>0</v>
      </c>
      <c r="M32" s="40">
        <f>IF(('Cy11_2020_44Dists_02-07'!M32=0),(0),(('Cy11_2045_44Dists_02-07'!M32/'Cy11_2020_44Dists_02-07'!M32)-1))</f>
        <v>7.1087134662660478E-2</v>
      </c>
      <c r="N32" s="40">
        <f>IF(('Cy11_2020_44Dists_02-07'!N32=0),(0),(('Cy11_2045_44Dists_02-07'!N32/'Cy11_2020_44Dists_02-07'!N32)-1))</f>
        <v>7.3680924133624703E-2</v>
      </c>
      <c r="O32" s="41">
        <f>IF(('Cy11_2020_44Dists_02-07'!O32=0),(0),(('Cy11_2045_44Dists_02-07'!O32/'Cy11_2020_44Dists_02-07'!O32)-1))</f>
        <v>-2.4157917055827038E-3</v>
      </c>
    </row>
    <row r="33" spans="2:15" ht="15" customHeight="1">
      <c r="B33" s="16">
        <v>26</v>
      </c>
      <c r="C33" s="17" t="s">
        <v>48</v>
      </c>
      <c r="E33" s="39">
        <f>IF(('Cy11_2020_44Dists_02-07'!E33=0),(0),(('Cy11_2045_44Dists_02-07'!E33/'Cy11_2020_44Dists_02-07'!E33)-1))</f>
        <v>0.11061930304962675</v>
      </c>
      <c r="F33" s="40">
        <f>IF(('Cy11_2020_44Dists_02-07'!F33=0),(0),(('Cy11_2045_44Dists_02-07'!F33/'Cy11_2020_44Dists_02-07'!F33)-1))</f>
        <v>-0.32544861337683528</v>
      </c>
      <c r="G33" s="40">
        <f>IF(('Cy11_2020_44Dists_02-07'!G33=0),(0),(('Cy11_2045_44Dists_02-07'!G33/'Cy11_2020_44Dists_02-07'!G33)-1))</f>
        <v>7.7150983645413618E-2</v>
      </c>
      <c r="H33" s="40">
        <f>IF(('Cy11_2020_44Dists_02-07'!H33=0),(0),(('Cy11_2045_44Dists_02-07'!H33/'Cy11_2020_44Dists_02-07'!H33)-1))</f>
        <v>0.19253533876470996</v>
      </c>
      <c r="I33" s="41">
        <f>IF(('Cy11_2020_44Dists_02-07'!I33=0),(0),(('Cy11_2045_44Dists_02-07'!I33/'Cy11_2020_44Dists_02-07'!I33)-1))</f>
        <v>-2.5816249050873208E-2</v>
      </c>
      <c r="K33" s="39">
        <f>IF(('Cy11_2020_44Dists_02-07'!K33=0),(0),(('Cy11_2045_44Dists_02-07'!K33/'Cy11_2020_44Dists_02-07'!K33)-1))</f>
        <v>0.10580385330807696</v>
      </c>
      <c r="L33" s="40">
        <f>IF(('Cy11_2020_44Dists_02-07'!L33=0),(0),(('Cy11_2045_44Dists_02-07'!L33/'Cy11_2020_44Dists_02-07'!L33)-1))</f>
        <v>0</v>
      </c>
      <c r="M33" s="40">
        <f>IF(('Cy11_2020_44Dists_02-07'!M33=0),(0),(('Cy11_2045_44Dists_02-07'!M33/'Cy11_2020_44Dists_02-07'!M33)-1))</f>
        <v>0.10673093475641249</v>
      </c>
      <c r="N33" s="40">
        <f>IF(('Cy11_2020_44Dists_02-07'!N33=0),(0),(('Cy11_2045_44Dists_02-07'!N33/'Cy11_2020_44Dists_02-07'!N33)-1))</f>
        <v>0.10456174256150108</v>
      </c>
      <c r="O33" s="41">
        <f>IF(('Cy11_2020_44Dists_02-07'!O33=0),(0),(('Cy11_2045_44Dists_02-07'!O33/'Cy11_2020_44Dists_02-07'!O33)-1))</f>
        <v>1.9638487477222633E-3</v>
      </c>
    </row>
    <row r="34" spans="2:15" ht="15" customHeight="1">
      <c r="B34" s="16">
        <v>27</v>
      </c>
      <c r="C34" s="17" t="s">
        <v>49</v>
      </c>
      <c r="E34" s="39">
        <f>IF(('Cy11_2020_44Dists_02-07'!E34=0),(0),(('Cy11_2045_44Dists_02-07'!E34/'Cy11_2020_44Dists_02-07'!E34)-1))</f>
        <v>0.17996361746361744</v>
      </c>
      <c r="F34" s="40">
        <f>IF(('Cy11_2020_44Dists_02-07'!F34=0),(0),(('Cy11_2045_44Dists_02-07'!F34/'Cy11_2020_44Dists_02-07'!F34)-1))</f>
        <v>-0.22881355932203384</v>
      </c>
      <c r="G34" s="40">
        <f>IF(('Cy11_2020_44Dists_02-07'!G34=0),(0),(('Cy11_2045_44Dists_02-07'!G34/'Cy11_2020_44Dists_02-07'!G34)-1))</f>
        <v>0.1589403973509933</v>
      </c>
      <c r="H34" s="40">
        <f>IF(('Cy11_2020_44Dists_02-07'!H34=0),(0),(('Cy11_2045_44Dists_02-07'!H34/'Cy11_2020_44Dists_02-07'!H34)-1))</f>
        <v>0.208437110834371</v>
      </c>
      <c r="I34" s="41">
        <f>IF(('Cy11_2020_44Dists_02-07'!I34=0),(0),(('Cy11_2045_44Dists_02-07'!I34/'Cy11_2020_44Dists_02-07'!I34)-1))</f>
        <v>4.4130626654899086E-3</v>
      </c>
      <c r="K34" s="39">
        <f>IF(('Cy11_2020_44Dists_02-07'!K34=0),(0),(('Cy11_2045_44Dists_02-07'!K34/'Cy11_2020_44Dists_02-07'!K34)-1))</f>
        <v>0.15816182689596836</v>
      </c>
      <c r="L34" s="40">
        <f>IF(('Cy11_2020_44Dists_02-07'!L34=0),(0),(('Cy11_2045_44Dists_02-07'!L34/'Cy11_2020_44Dists_02-07'!L34)-1))</f>
        <v>0</v>
      </c>
      <c r="M34" s="40">
        <f>IF(('Cy11_2020_44Dists_02-07'!M34=0),(0),(('Cy11_2045_44Dists_02-07'!M34/'Cy11_2020_44Dists_02-07'!M34)-1))</f>
        <v>0.1596017069701281</v>
      </c>
      <c r="N34" s="40">
        <f>IF(('Cy11_2020_44Dists_02-07'!N34=0),(0),(('Cy11_2045_44Dists_02-07'!N34/'Cy11_2020_44Dists_02-07'!N34)-1))</f>
        <v>0.18285280728376319</v>
      </c>
      <c r="O34" s="41">
        <f>IF(('Cy11_2020_44Dists_02-07'!O34=0),(0),(('Cy11_2045_44Dists_02-07'!O34/'Cy11_2020_44Dists_02-07'!O34)-1))</f>
        <v>-1.9656799367139932E-2</v>
      </c>
    </row>
    <row r="35" spans="2:15" ht="15" customHeight="1">
      <c r="B35" s="16">
        <v>28</v>
      </c>
      <c r="C35" s="17" t="s">
        <v>50</v>
      </c>
      <c r="E35" s="39">
        <f>IF(('Cy11_2020_44Dists_02-07'!E35=0),(0),(('Cy11_2045_44Dists_02-07'!E35/'Cy11_2020_44Dists_02-07'!E35)-1))</f>
        <v>0.13376232632872309</v>
      </c>
      <c r="F35" s="40">
        <f>IF(('Cy11_2020_44Dists_02-07'!F35=0),(0),(('Cy11_2045_44Dists_02-07'!F35/'Cy11_2020_44Dists_02-07'!F35)-1))</f>
        <v>-0.11654341276362645</v>
      </c>
      <c r="G35" s="40">
        <f>IF(('Cy11_2020_44Dists_02-07'!G35=0),(0),(('Cy11_2045_44Dists_02-07'!G35/'Cy11_2020_44Dists_02-07'!G35)-1))</f>
        <v>6.4030293902491486E-2</v>
      </c>
      <c r="H35" s="40">
        <f>IF(('Cy11_2020_44Dists_02-07'!H35=0),(0),(('Cy11_2045_44Dists_02-07'!H35/'Cy11_2020_44Dists_02-07'!H35)-1))</f>
        <v>0.19562742263557165</v>
      </c>
      <c r="I35" s="41">
        <f>IF(('Cy11_2020_44Dists_02-07'!I35=0),(0),(('Cy11_2045_44Dists_02-07'!I35/'Cy11_2020_44Dists_02-07'!I35)-1))</f>
        <v>5.7740769146488402E-2</v>
      </c>
      <c r="K35" s="39">
        <f>IF(('Cy11_2020_44Dists_02-07'!K35=0),(0),(('Cy11_2045_44Dists_02-07'!K35/'Cy11_2020_44Dists_02-07'!K35)-1))</f>
        <v>0.25260864665890392</v>
      </c>
      <c r="L35" s="40">
        <f>IF(('Cy11_2020_44Dists_02-07'!L35=0),(0),(('Cy11_2045_44Dists_02-07'!L35/'Cy11_2020_44Dists_02-07'!L35)-1))</f>
        <v>0</v>
      </c>
      <c r="M35" s="40">
        <f>IF(('Cy11_2020_44Dists_02-07'!M35=0),(0),(('Cy11_2045_44Dists_02-07'!M35/'Cy11_2020_44Dists_02-07'!M35)-1))</f>
        <v>0.25719749120391611</v>
      </c>
      <c r="N35" s="40">
        <f>IF(('Cy11_2020_44Dists_02-07'!N35=0),(0),(('Cy11_2045_44Dists_02-07'!N35/'Cy11_2020_44Dists_02-07'!N35)-1))</f>
        <v>0.26516510648880054</v>
      </c>
      <c r="O35" s="41">
        <f>IF(('Cy11_2020_44Dists_02-07'!O35=0),(0),(('Cy11_2045_44Dists_02-07'!O35/'Cy11_2020_44Dists_02-07'!O35)-1))</f>
        <v>-6.2976881388997485E-3</v>
      </c>
    </row>
    <row r="36" spans="2:15" ht="15" customHeight="1">
      <c r="B36" s="16">
        <v>29</v>
      </c>
      <c r="C36" s="17" t="s">
        <v>51</v>
      </c>
      <c r="E36" s="39">
        <f>IF(('Cy11_2020_44Dists_02-07'!E36=0),(0),(('Cy11_2045_44Dists_02-07'!E36/'Cy11_2020_44Dists_02-07'!E36)-1))</f>
        <v>2.6934817741066652E-3</v>
      </c>
      <c r="F36" s="40">
        <f>IF(('Cy11_2020_44Dists_02-07'!F36=0),(0),(('Cy11_2045_44Dists_02-07'!F36/'Cy11_2020_44Dists_02-07'!F36)-1))</f>
        <v>-0.30391506303915061</v>
      </c>
      <c r="G36" s="40">
        <f>IF(('Cy11_2020_44Dists_02-07'!G36=0),(0),(('Cy11_2045_44Dists_02-07'!G36/'Cy11_2020_44Dists_02-07'!G36)-1))</f>
        <v>-7.2093965168084195E-2</v>
      </c>
      <c r="H36" s="40">
        <f>IF(('Cy11_2020_44Dists_02-07'!H36=0),(0),(('Cy11_2045_44Dists_02-07'!H36/'Cy11_2020_44Dists_02-07'!H36)-1))</f>
        <v>9.0287696388492211E-2</v>
      </c>
      <c r="I36" s="41">
        <f>IF(('Cy11_2020_44Dists_02-07'!I36=0),(0),(('Cy11_2045_44Dists_02-07'!I36/'Cy11_2020_44Dists_02-07'!I36)-1))</f>
        <v>-6.9648344144759289E-2</v>
      </c>
      <c r="K36" s="39">
        <f>IF(('Cy11_2020_44Dists_02-07'!K36=0),(0),(('Cy11_2045_44Dists_02-07'!K36/'Cy11_2020_44Dists_02-07'!K36)-1))</f>
        <v>-1.6360052562417904E-2</v>
      </c>
      <c r="L36" s="40">
        <f>IF(('Cy11_2020_44Dists_02-07'!L36=0),(0),(('Cy11_2045_44Dists_02-07'!L36/'Cy11_2020_44Dists_02-07'!L36)-1))</f>
        <v>0</v>
      </c>
      <c r="M36" s="40">
        <f>IF(('Cy11_2020_44Dists_02-07'!M36=0),(0),(('Cy11_2045_44Dists_02-07'!M36/'Cy11_2020_44Dists_02-07'!M36)-1))</f>
        <v>-1.6537524905910983E-2</v>
      </c>
      <c r="N36" s="40">
        <f>IF(('Cy11_2020_44Dists_02-07'!N36=0),(0),(('Cy11_2045_44Dists_02-07'!N36/'Cy11_2020_44Dists_02-07'!N36)-1))</f>
        <v>7.0498636340246001E-3</v>
      </c>
      <c r="O36" s="41">
        <f>IF(('Cy11_2020_44Dists_02-07'!O36=0),(0),(('Cy11_2045_44Dists_02-07'!O36/'Cy11_2020_44Dists_02-07'!O36)-1))</f>
        <v>-2.3422264767326006E-2</v>
      </c>
    </row>
    <row r="37" spans="2:15" ht="15" customHeight="1">
      <c r="B37" s="16">
        <v>30</v>
      </c>
      <c r="C37" s="17" t="s">
        <v>52</v>
      </c>
      <c r="E37" s="39">
        <f>IF(('Cy11_2020_44Dists_02-07'!E37=0),(0),(('Cy11_2045_44Dists_02-07'!E37/'Cy11_2020_44Dists_02-07'!E37)-1))</f>
        <v>5.8305421163627358E-2</v>
      </c>
      <c r="F37" s="40">
        <f>IF(('Cy11_2020_44Dists_02-07'!F37=0),(0),(('Cy11_2045_44Dists_02-07'!F37/'Cy11_2020_44Dists_02-07'!F37)-1))</f>
        <v>-7.4003795066413636E-2</v>
      </c>
      <c r="G37" s="40">
        <f>IF(('Cy11_2020_44Dists_02-07'!G37=0),(0),(('Cy11_2045_44Dists_02-07'!G37/'Cy11_2020_44Dists_02-07'!G37)-1))</f>
        <v>6.5050266114725641E-3</v>
      </c>
      <c r="H37" s="40">
        <f>IF(('Cy11_2020_44Dists_02-07'!H37=0),(0),(('Cy11_2045_44Dists_02-07'!H37/'Cy11_2020_44Dists_02-07'!H37)-1))</f>
        <v>0.14545914495320011</v>
      </c>
      <c r="I37" s="41">
        <f>IF(('Cy11_2020_44Dists_02-07'!I37=0),(0),(('Cy11_2045_44Dists_02-07'!I37/'Cy11_2020_44Dists_02-07'!I37)-1))</f>
        <v>-4.0740740740740744E-2</v>
      </c>
      <c r="K37" s="39">
        <f>IF(('Cy11_2020_44Dists_02-07'!K37=0),(0),(('Cy11_2045_44Dists_02-07'!K37/'Cy11_2020_44Dists_02-07'!K37)-1))</f>
        <v>4.2271161674147795E-3</v>
      </c>
      <c r="L37" s="40">
        <f>IF(('Cy11_2020_44Dists_02-07'!L37=0),(0),(('Cy11_2045_44Dists_02-07'!L37/'Cy11_2020_44Dists_02-07'!L37)-1))</f>
        <v>0</v>
      </c>
      <c r="M37" s="40">
        <f>IF(('Cy11_2020_44Dists_02-07'!M37=0),(0),(('Cy11_2045_44Dists_02-07'!M37/'Cy11_2020_44Dists_02-07'!M37)-1))</f>
        <v>4.2868483725853057E-3</v>
      </c>
      <c r="N37" s="40">
        <f>IF(('Cy11_2020_44Dists_02-07'!N37=0),(0),(('Cy11_2045_44Dists_02-07'!N37/'Cy11_2020_44Dists_02-07'!N37)-1))</f>
        <v>2.3040891252057216E-2</v>
      </c>
      <c r="O37" s="41">
        <f>IF(('Cy11_2020_44Dists_02-07'!O37=0),(0),(('Cy11_2045_44Dists_02-07'!O37/'Cy11_2020_44Dists_02-07'!O37)-1))</f>
        <v>-1.8331664980194007E-2</v>
      </c>
    </row>
    <row r="38" spans="2:15" ht="15" customHeight="1">
      <c r="B38" s="16">
        <v>31</v>
      </c>
      <c r="C38" s="17" t="s">
        <v>53</v>
      </c>
      <c r="E38" s="39">
        <f>IF(('Cy11_2020_44Dists_02-07'!E38=0),(0),(('Cy11_2045_44Dists_02-07'!E38/'Cy11_2020_44Dists_02-07'!E38)-1))</f>
        <v>5.2604651162790672E-2</v>
      </c>
      <c r="F38" s="40">
        <f>IF(('Cy11_2020_44Dists_02-07'!F38=0),(0),(('Cy11_2045_44Dists_02-07'!F38/'Cy11_2020_44Dists_02-07'!F38)-1))</f>
        <v>9.5238095238095344E-2</v>
      </c>
      <c r="G38" s="40">
        <f>IF(('Cy11_2020_44Dists_02-07'!G38=0),(0),(('Cy11_2045_44Dists_02-07'!G38/'Cy11_2020_44Dists_02-07'!G38)-1))</f>
        <v>-1.087386318703043E-2</v>
      </c>
      <c r="H38" s="40">
        <f>IF(('Cy11_2020_44Dists_02-07'!H38=0),(0),(('Cy11_2045_44Dists_02-07'!H38/'Cy11_2020_44Dists_02-07'!H38)-1))</f>
        <v>0.10120068610634658</v>
      </c>
      <c r="I38" s="41">
        <f>IF(('Cy11_2020_44Dists_02-07'!I38=0),(0),(('Cy11_2045_44Dists_02-07'!I38/'Cy11_2020_44Dists_02-07'!I38)-1))</f>
        <v>-0.11111111111111116</v>
      </c>
      <c r="K38" s="39">
        <f>IF(('Cy11_2020_44Dists_02-07'!K38=0),(0),(('Cy11_2045_44Dists_02-07'!K38/'Cy11_2020_44Dists_02-07'!K38)-1))</f>
        <v>6.9465483661545147E-2</v>
      </c>
      <c r="L38" s="40">
        <f>IF(('Cy11_2020_44Dists_02-07'!L38=0),(0),(('Cy11_2045_44Dists_02-07'!L38/'Cy11_2020_44Dists_02-07'!L38)-1))</f>
        <v>0</v>
      </c>
      <c r="M38" s="40">
        <f>IF(('Cy11_2020_44Dists_02-07'!M38=0),(0),(('Cy11_2045_44Dists_02-07'!M38/'Cy11_2020_44Dists_02-07'!M38)-1))</f>
        <v>7.054945054945061E-2</v>
      </c>
      <c r="N38" s="40">
        <f>IF(('Cy11_2020_44Dists_02-07'!N38=0),(0),(('Cy11_2045_44Dists_02-07'!N38/'Cy11_2020_44Dists_02-07'!N38)-1))</f>
        <v>8.7375817785316112E-2</v>
      </c>
      <c r="O38" s="41">
        <f>IF(('Cy11_2020_44Dists_02-07'!O38=0),(0),(('Cy11_2045_44Dists_02-07'!O38/'Cy11_2020_44Dists_02-07'!O38)-1))</f>
        <v>-1.5474288613605891E-2</v>
      </c>
    </row>
    <row r="39" spans="2:15" ht="15" customHeight="1">
      <c r="B39" s="16">
        <v>32</v>
      </c>
      <c r="C39" s="17" t="s">
        <v>54</v>
      </c>
      <c r="E39" s="39">
        <f>IF(('Cy11_2020_44Dists_02-07'!E39=0),(0),(('Cy11_2045_44Dists_02-07'!E39/'Cy11_2020_44Dists_02-07'!E39)-1))</f>
        <v>8.8417503136761777E-3</v>
      </c>
      <c r="F39" s="40">
        <f>IF(('Cy11_2020_44Dists_02-07'!F39=0),(0),(('Cy11_2045_44Dists_02-07'!F39/'Cy11_2020_44Dists_02-07'!F39)-1))</f>
        <v>-0.48729911871435982</v>
      </c>
      <c r="G39" s="40">
        <f>IF(('Cy11_2020_44Dists_02-07'!G39=0),(0),(('Cy11_2045_44Dists_02-07'!G39/'Cy11_2020_44Dists_02-07'!G39)-1))</f>
        <v>-5.4951764562217731E-3</v>
      </c>
      <c r="H39" s="40">
        <f>IF(('Cy11_2020_44Dists_02-07'!H39=0),(0),(('Cy11_2045_44Dists_02-07'!H39/'Cy11_2020_44Dists_02-07'!H39)-1))</f>
        <v>8.3522252714473222E-2</v>
      </c>
      <c r="I39" s="41">
        <f>IF(('Cy11_2020_44Dists_02-07'!I39=0),(0),(('Cy11_2045_44Dists_02-07'!I39/'Cy11_2020_44Dists_02-07'!I39)-1))</f>
        <v>-7.7984182453558981E-2</v>
      </c>
      <c r="K39" s="39">
        <f>IF(('Cy11_2020_44Dists_02-07'!K39=0),(0),(('Cy11_2045_44Dists_02-07'!K39/'Cy11_2020_44Dists_02-07'!K39)-1))</f>
        <v>0.10037982973149973</v>
      </c>
      <c r="L39" s="40">
        <f>IF(('Cy11_2020_44Dists_02-07'!L39=0),(0),(('Cy11_2045_44Dists_02-07'!L39/'Cy11_2020_44Dists_02-07'!L39)-1))</f>
        <v>0</v>
      </c>
      <c r="M39" s="40">
        <f>IF(('Cy11_2020_44Dists_02-07'!M39=0),(0),(('Cy11_2045_44Dists_02-07'!M39/'Cy11_2020_44Dists_02-07'!M39)-1))</f>
        <v>0.1023185439010279</v>
      </c>
      <c r="N39" s="40">
        <f>IF(('Cy11_2020_44Dists_02-07'!N39=0),(0),(('Cy11_2045_44Dists_02-07'!N39/'Cy11_2020_44Dists_02-07'!N39)-1))</f>
        <v>0.12924131875483447</v>
      </c>
      <c r="O39" s="41">
        <f>IF(('Cy11_2020_44Dists_02-07'!O39=0),(0),(('Cy11_2045_44Dists_02-07'!O39/'Cy11_2020_44Dists_02-07'!O39)-1))</f>
        <v>-2.3841471620515198E-2</v>
      </c>
    </row>
    <row r="40" spans="2:15" ht="15" customHeight="1">
      <c r="B40" s="16">
        <v>33</v>
      </c>
      <c r="C40" s="17" t="s">
        <v>55</v>
      </c>
      <c r="E40" s="39">
        <f>IF(('Cy11_2020_44Dists_02-07'!E40=0),(0),(('Cy11_2045_44Dists_02-07'!E40/'Cy11_2020_44Dists_02-07'!E40)-1))</f>
        <v>4.9952121237353708E-2</v>
      </c>
      <c r="F40" s="40">
        <f>IF(('Cy11_2020_44Dists_02-07'!F40=0),(0),(('Cy11_2045_44Dists_02-07'!F40/'Cy11_2020_44Dists_02-07'!F40)-1))</f>
        <v>-0.26017173581574515</v>
      </c>
      <c r="G40" s="40">
        <f>IF(('Cy11_2020_44Dists_02-07'!G40=0),(0),(('Cy11_2045_44Dists_02-07'!G40/'Cy11_2020_44Dists_02-07'!G40)-1))</f>
        <v>4.1065379796761281E-2</v>
      </c>
      <c r="H40" s="40">
        <f>IF(('Cy11_2020_44Dists_02-07'!H40=0),(0),(('Cy11_2045_44Dists_02-07'!H40/'Cy11_2020_44Dists_02-07'!H40)-1))</f>
        <v>0.12944858377478208</v>
      </c>
      <c r="I40" s="41">
        <f>IF(('Cy11_2020_44Dists_02-07'!I40=0),(0),(('Cy11_2045_44Dists_02-07'!I40/'Cy11_2020_44Dists_02-07'!I40)-1))</f>
        <v>-4.0241081212711527E-2</v>
      </c>
      <c r="K40" s="39">
        <f>IF(('Cy11_2020_44Dists_02-07'!K40=0),(0),(('Cy11_2045_44Dists_02-07'!K40/'Cy11_2020_44Dists_02-07'!K40)-1))</f>
        <v>0.17164529452412469</v>
      </c>
      <c r="L40" s="40">
        <f>IF(('Cy11_2020_44Dists_02-07'!L40=0),(0),(('Cy11_2045_44Dists_02-07'!L40/'Cy11_2020_44Dists_02-07'!L40)-1))</f>
        <v>0</v>
      </c>
      <c r="M40" s="40">
        <f>IF(('Cy11_2020_44Dists_02-07'!M40=0),(0),(('Cy11_2045_44Dists_02-07'!M40/'Cy11_2020_44Dists_02-07'!M40)-1))</f>
        <v>0.17685455424934649</v>
      </c>
      <c r="N40" s="40">
        <f>IF(('Cy11_2020_44Dists_02-07'!N40=0),(0),(('Cy11_2045_44Dists_02-07'!N40/'Cy11_2020_44Dists_02-07'!N40)-1))</f>
        <v>0.21908270303457833</v>
      </c>
      <c r="O40" s="41">
        <f>IF(('Cy11_2020_44Dists_02-07'!O40=0),(0),(('Cy11_2045_44Dists_02-07'!O40/'Cy11_2020_44Dists_02-07'!O40)-1))</f>
        <v>-3.4639281387649934E-2</v>
      </c>
    </row>
    <row r="41" spans="2:15" ht="15" customHeight="1">
      <c r="B41" s="16">
        <v>34</v>
      </c>
      <c r="C41" s="17" t="s">
        <v>56</v>
      </c>
      <c r="E41" s="39">
        <f>IF(('Cy11_2020_44Dists_02-07'!E41=0),(0),(('Cy11_2045_44Dists_02-07'!E41/'Cy11_2020_44Dists_02-07'!E41)-1))</f>
        <v>3.0029867933354826E-2</v>
      </c>
      <c r="F41" s="40">
        <f>IF(('Cy11_2020_44Dists_02-07'!F41=0),(0),(('Cy11_2045_44Dists_02-07'!F41/'Cy11_2020_44Dists_02-07'!F41)-1))</f>
        <v>-0.23494595985589295</v>
      </c>
      <c r="G41" s="40">
        <f>IF(('Cy11_2020_44Dists_02-07'!G41=0),(0),(('Cy11_2045_44Dists_02-07'!G41/'Cy11_2020_44Dists_02-07'!G41)-1))</f>
        <v>-4.0267823462844188E-2</v>
      </c>
      <c r="H41" s="40">
        <f>IF(('Cy11_2020_44Dists_02-07'!H41=0),(0),(('Cy11_2045_44Dists_02-07'!H41/'Cy11_2020_44Dists_02-07'!H41)-1))</f>
        <v>9.599273536821129E-2</v>
      </c>
      <c r="I41" s="41">
        <f>IF(('Cy11_2020_44Dists_02-07'!I41=0),(0),(('Cy11_2045_44Dists_02-07'!I41/'Cy11_2020_44Dists_02-07'!I41)-1))</f>
        <v>-3.8561151079136713E-2</v>
      </c>
      <c r="K41" s="39">
        <f>IF(('Cy11_2020_44Dists_02-07'!K41=0),(0),(('Cy11_2045_44Dists_02-07'!K41/'Cy11_2020_44Dists_02-07'!K41)-1))</f>
        <v>-5.3422939345607601E-3</v>
      </c>
      <c r="L41" s="40">
        <f>IF(('Cy11_2020_44Dists_02-07'!L41=0),(0),(('Cy11_2045_44Dists_02-07'!L41/'Cy11_2020_44Dists_02-07'!L41)-1))</f>
        <v>0</v>
      </c>
      <c r="M41" s="40">
        <f>IF(('Cy11_2020_44Dists_02-07'!M41=0),(0),(('Cy11_2045_44Dists_02-07'!M41/'Cy11_2020_44Dists_02-07'!M41)-1))</f>
        <v>-5.5439053197386956E-3</v>
      </c>
      <c r="N41" s="40">
        <f>IF(('Cy11_2020_44Dists_02-07'!N41=0),(0),(('Cy11_2045_44Dists_02-07'!N41/'Cy11_2020_44Dists_02-07'!N41)-1))</f>
        <v>5.5672614099862017E-3</v>
      </c>
      <c r="O41" s="41">
        <f>IF(('Cy11_2020_44Dists_02-07'!O41=0),(0),(('Cy11_2045_44Dists_02-07'!O41/'Cy11_2020_44Dists_02-07'!O41)-1))</f>
        <v>-1.1049650437251812E-2</v>
      </c>
    </row>
    <row r="42" spans="2:15" ht="15" customHeight="1">
      <c r="B42" s="16">
        <v>35</v>
      </c>
      <c r="C42" s="17" t="s">
        <v>57</v>
      </c>
      <c r="E42" s="39">
        <f>IF(('Cy11_2020_44Dists_02-07'!E42=0),(0),(('Cy11_2045_44Dists_02-07'!E42/'Cy11_2020_44Dists_02-07'!E42)-1))</f>
        <v>2.3014586709886542E-2</v>
      </c>
      <c r="F42" s="40">
        <f>IF(('Cy11_2020_44Dists_02-07'!F42=0),(0),(('Cy11_2045_44Dists_02-07'!F42/'Cy11_2020_44Dists_02-07'!F42)-1))</f>
        <v>-0.24870466321243523</v>
      </c>
      <c r="G42" s="40">
        <f>IF(('Cy11_2020_44Dists_02-07'!G42=0),(0),(('Cy11_2045_44Dists_02-07'!G42/'Cy11_2020_44Dists_02-07'!G42)-1))</f>
        <v>-2.9984423676012506E-2</v>
      </c>
      <c r="H42" s="40">
        <f>IF(('Cy11_2020_44Dists_02-07'!H42=0),(0),(('Cy11_2045_44Dists_02-07'!H42/'Cy11_2020_44Dists_02-07'!H42)-1))</f>
        <v>9.7560975609756184E-2</v>
      </c>
      <c r="I42" s="41">
        <f>IF(('Cy11_2020_44Dists_02-07'!I42=0),(0),(('Cy11_2045_44Dists_02-07'!I42/'Cy11_2020_44Dists_02-07'!I42)-1))</f>
        <v>-3.3920137398024908E-2</v>
      </c>
      <c r="K42" s="39">
        <f>IF(('Cy11_2020_44Dists_02-07'!K42=0),(0),(('Cy11_2045_44Dists_02-07'!K42/'Cy11_2020_44Dists_02-07'!K42)-1))</f>
        <v>3.1115533562822817E-2</v>
      </c>
      <c r="L42" s="40">
        <f>IF(('Cy11_2020_44Dists_02-07'!L42=0),(0),(('Cy11_2045_44Dists_02-07'!L42/'Cy11_2020_44Dists_02-07'!L42)-1))</f>
        <v>0</v>
      </c>
      <c r="M42" s="40">
        <f>IF(('Cy11_2020_44Dists_02-07'!M42=0),(0),(('Cy11_2045_44Dists_02-07'!M42/'Cy11_2020_44Dists_02-07'!M42)-1))</f>
        <v>3.5264713950440507E-2</v>
      </c>
      <c r="N42" s="40">
        <f>IF(('Cy11_2020_44Dists_02-07'!N42=0),(0),(('Cy11_2045_44Dists_02-07'!N42/'Cy11_2020_44Dists_02-07'!N42)-1))</f>
        <v>7.9340473506200659E-2</v>
      </c>
      <c r="O42" s="41">
        <f>IF(('Cy11_2020_44Dists_02-07'!O42=0),(0),(('Cy11_2045_44Dists_02-07'!O42/'Cy11_2020_44Dists_02-07'!O42)-1))</f>
        <v>-4.0835825800714765E-2</v>
      </c>
    </row>
    <row r="43" spans="2:15" ht="15" customHeight="1">
      <c r="B43" s="16">
        <v>36</v>
      </c>
      <c r="C43" s="17" t="s">
        <v>58</v>
      </c>
      <c r="E43" s="39">
        <f>IF(('Cy11_2020_44Dists_02-07'!E43=0),(0),(('Cy11_2045_44Dists_02-07'!E43/'Cy11_2020_44Dists_02-07'!E43)-1))</f>
        <v>8.3962575674188189E-2</v>
      </c>
      <c r="F43" s="40">
        <f>IF(('Cy11_2020_44Dists_02-07'!F43=0),(0),(('Cy11_2045_44Dists_02-07'!F43/'Cy11_2020_44Dists_02-07'!F43)-1))</f>
        <v>-0.24454697986577179</v>
      </c>
      <c r="G43" s="40">
        <f>IF(('Cy11_2020_44Dists_02-07'!G43=0),(0),(('Cy11_2045_44Dists_02-07'!G43/'Cy11_2020_44Dists_02-07'!G43)-1))</f>
        <v>2.2398389329306712E-2</v>
      </c>
      <c r="H43" s="40">
        <f>IF(('Cy11_2020_44Dists_02-07'!H43=0),(0),(('Cy11_2045_44Dists_02-07'!H43/'Cy11_2020_44Dists_02-07'!H43)-1))</f>
        <v>0.11401971095789021</v>
      </c>
      <c r="I43" s="41">
        <f>IF(('Cy11_2020_44Dists_02-07'!I43=0),(0),(('Cy11_2045_44Dists_02-07'!I43/'Cy11_2020_44Dists_02-07'!I43)-1))</f>
        <v>0.13711132335774168</v>
      </c>
      <c r="K43" s="39">
        <f>IF(('Cy11_2020_44Dists_02-07'!K43=0),(0),(('Cy11_2045_44Dists_02-07'!K43/'Cy11_2020_44Dists_02-07'!K43)-1))</f>
        <v>9.7323238686474189E-2</v>
      </c>
      <c r="L43" s="40">
        <f>IF(('Cy11_2020_44Dists_02-07'!L43=0),(0),(('Cy11_2045_44Dists_02-07'!L43/'Cy11_2020_44Dists_02-07'!L43)-1))</f>
        <v>0</v>
      </c>
      <c r="M43" s="40">
        <f>IF(('Cy11_2020_44Dists_02-07'!M43=0),(0),(('Cy11_2045_44Dists_02-07'!M43/'Cy11_2020_44Dists_02-07'!M43)-1))</f>
        <v>0.10440627150299808</v>
      </c>
      <c r="N43" s="40">
        <f>IF(('Cy11_2020_44Dists_02-07'!N43=0),(0),(('Cy11_2045_44Dists_02-07'!N43/'Cy11_2020_44Dists_02-07'!N43)-1))</f>
        <v>0.13813292535820421</v>
      </c>
      <c r="O43" s="41">
        <f>IF(('Cy11_2020_44Dists_02-07'!O43=0),(0),(('Cy11_2045_44Dists_02-07'!O43/'Cy11_2020_44Dists_02-07'!O43)-1))</f>
        <v>-2.963331707901451E-2</v>
      </c>
    </row>
    <row r="44" spans="2:15" ht="15" customHeight="1">
      <c r="B44" s="16">
        <v>37</v>
      </c>
      <c r="C44" s="17" t="s">
        <v>59</v>
      </c>
      <c r="E44" s="39">
        <f>IF(('Cy11_2020_44Dists_02-07'!E44=0),(0),(('Cy11_2045_44Dists_02-07'!E44/'Cy11_2020_44Dists_02-07'!E44)-1))</f>
        <v>4.4916282455714551E-2</v>
      </c>
      <c r="F44" s="40">
        <f>IF(('Cy11_2020_44Dists_02-07'!F44=0),(0),(('Cy11_2045_44Dists_02-07'!F44/'Cy11_2020_44Dists_02-07'!F44)-1))</f>
        <v>-0.217633645806942</v>
      </c>
      <c r="G44" s="40">
        <f>IF(('Cy11_2020_44Dists_02-07'!G44=0),(0),(('Cy11_2045_44Dists_02-07'!G44/'Cy11_2020_44Dists_02-07'!G44)-1))</f>
        <v>-1.2146348689083153E-2</v>
      </c>
      <c r="H44" s="40">
        <f>IF(('Cy11_2020_44Dists_02-07'!H44=0),(0),(('Cy11_2045_44Dists_02-07'!H44/'Cy11_2020_44Dists_02-07'!H44)-1))</f>
        <v>0.12994662976872906</v>
      </c>
      <c r="I44" s="41">
        <f>IF(('Cy11_2020_44Dists_02-07'!I44=0),(0),(('Cy11_2045_44Dists_02-07'!I44/'Cy11_2020_44Dists_02-07'!I44)-1))</f>
        <v>-9.4882116158711893E-2</v>
      </c>
      <c r="K44" s="39">
        <f>IF(('Cy11_2020_44Dists_02-07'!K44=0),(0),(('Cy11_2045_44Dists_02-07'!K44/'Cy11_2020_44Dists_02-07'!K44)-1))</f>
        <v>5.408739163321119E-2</v>
      </c>
      <c r="L44" s="40">
        <f>IF(('Cy11_2020_44Dists_02-07'!L44=0),(0),(('Cy11_2045_44Dists_02-07'!L44/'Cy11_2020_44Dists_02-07'!L44)-1))</f>
        <v>0</v>
      </c>
      <c r="M44" s="40">
        <f>IF(('Cy11_2020_44Dists_02-07'!M44=0),(0),(('Cy11_2045_44Dists_02-07'!M44/'Cy11_2020_44Dists_02-07'!M44)-1))</f>
        <v>5.561538277454714E-2</v>
      </c>
      <c r="N44" s="40">
        <f>IF(('Cy11_2020_44Dists_02-07'!N44=0),(0),(('Cy11_2045_44Dists_02-07'!N44/'Cy11_2020_44Dists_02-07'!N44)-1))</f>
        <v>8.391469570642629E-2</v>
      </c>
      <c r="O44" s="41">
        <f>IF(('Cy11_2020_44Dists_02-07'!O44=0),(0),(('Cy11_2045_44Dists_02-07'!O44/'Cy11_2020_44Dists_02-07'!O44)-1))</f>
        <v>-2.6108431820306199E-2</v>
      </c>
    </row>
    <row r="45" spans="2:15" ht="15" customHeight="1">
      <c r="B45" s="16">
        <v>38</v>
      </c>
      <c r="C45" s="17" t="s">
        <v>60</v>
      </c>
      <c r="E45" s="39">
        <f>IF(('Cy11_2020_44Dists_02-07'!E45=0),(0),(('Cy11_2045_44Dists_02-07'!E45/'Cy11_2020_44Dists_02-07'!E45)-1))</f>
        <v>9.6238420881637365E-2</v>
      </c>
      <c r="F45" s="40">
        <f>IF(('Cy11_2020_44Dists_02-07'!F45=0),(0),(('Cy11_2045_44Dists_02-07'!F45/'Cy11_2020_44Dists_02-07'!F45)-1))</f>
        <v>-0.22410810810810811</v>
      </c>
      <c r="G45" s="40">
        <f>IF(('Cy11_2020_44Dists_02-07'!G45=0),(0),(('Cy11_2045_44Dists_02-07'!G45/'Cy11_2020_44Dists_02-07'!G45)-1))</f>
        <v>5.0356052899287906E-2</v>
      </c>
      <c r="H45" s="40">
        <f>IF(('Cy11_2020_44Dists_02-07'!H45=0),(0),(('Cy11_2045_44Dists_02-07'!H45/'Cy11_2020_44Dists_02-07'!H45)-1))</f>
        <v>0.15033516812905345</v>
      </c>
      <c r="I45" s="41">
        <f>IF(('Cy11_2020_44Dists_02-07'!I45=0),(0),(('Cy11_2045_44Dists_02-07'!I45/'Cy11_2020_44Dists_02-07'!I45)-1))</f>
        <v>9.1833744924867178E-2</v>
      </c>
      <c r="K45" s="39">
        <f>IF(('Cy11_2020_44Dists_02-07'!K45=0),(0),(('Cy11_2045_44Dists_02-07'!K45/'Cy11_2020_44Dists_02-07'!K45)-1))</f>
        <v>0.15277870565666785</v>
      </c>
      <c r="L45" s="40">
        <f>IF(('Cy11_2020_44Dists_02-07'!L45=0),(0),(('Cy11_2045_44Dists_02-07'!L45/'Cy11_2020_44Dists_02-07'!L45)-1))</f>
        <v>0</v>
      </c>
      <c r="M45" s="40">
        <f>IF(('Cy11_2020_44Dists_02-07'!M45=0),(0),(('Cy11_2045_44Dists_02-07'!M45/'Cy11_2020_44Dists_02-07'!M45)-1))</f>
        <v>0.15670841837858474</v>
      </c>
      <c r="N45" s="40">
        <f>IF(('Cy11_2020_44Dists_02-07'!N45=0),(0),(('Cy11_2045_44Dists_02-07'!N45/'Cy11_2020_44Dists_02-07'!N45)-1))</f>
        <v>0.17183612539392934</v>
      </c>
      <c r="O45" s="41">
        <f>IF(('Cy11_2020_44Dists_02-07'!O45=0),(0),(('Cy11_2045_44Dists_02-07'!O45/'Cy11_2020_44Dists_02-07'!O45)-1))</f>
        <v>-1.2909404896746302E-2</v>
      </c>
    </row>
    <row r="46" spans="2:15" ht="15" customHeight="1">
      <c r="B46" s="16">
        <v>39</v>
      </c>
      <c r="C46" s="17" t="s">
        <v>61</v>
      </c>
      <c r="E46" s="39">
        <f>IF(('Cy11_2020_44Dists_02-07'!E46=0),(0),(('Cy11_2045_44Dists_02-07'!E46/'Cy11_2020_44Dists_02-07'!E46)-1))</f>
        <v>4.2228164464801043E-2</v>
      </c>
      <c r="F46" s="40">
        <f>IF(('Cy11_2020_44Dists_02-07'!F46=0),(0),(('Cy11_2045_44Dists_02-07'!F46/'Cy11_2020_44Dists_02-07'!F46)-1))</f>
        <v>-0.23930907261445578</v>
      </c>
      <c r="G46" s="40">
        <f>IF(('Cy11_2020_44Dists_02-07'!G46=0),(0),(('Cy11_2045_44Dists_02-07'!G46/'Cy11_2020_44Dists_02-07'!G46)-1))</f>
        <v>7.6162479957242457E-3</v>
      </c>
      <c r="H46" s="40">
        <f>IF(('Cy11_2020_44Dists_02-07'!H46=0),(0),(('Cy11_2045_44Dists_02-07'!H46/'Cy11_2020_44Dists_02-07'!H46)-1))</f>
        <v>0.12414736491857226</v>
      </c>
      <c r="I46" s="41">
        <f>IF(('Cy11_2020_44Dists_02-07'!I46=0),(0),(('Cy11_2045_44Dists_02-07'!I46/'Cy11_2020_44Dists_02-07'!I46)-1))</f>
        <v>-5.7628589460397617E-2</v>
      </c>
      <c r="K46" s="39">
        <f>IF(('Cy11_2020_44Dists_02-07'!K46=0),(0),(('Cy11_2045_44Dists_02-07'!K46/'Cy11_2020_44Dists_02-07'!K46)-1))</f>
        <v>0.1107786706446936</v>
      </c>
      <c r="L46" s="40">
        <f>IF(('Cy11_2020_44Dists_02-07'!L46=0),(0),(('Cy11_2045_44Dists_02-07'!L46/'Cy11_2020_44Dists_02-07'!L46)-1))</f>
        <v>0</v>
      </c>
      <c r="M46" s="40">
        <f>IF(('Cy11_2020_44Dists_02-07'!M46=0),(0),(('Cy11_2045_44Dists_02-07'!M46/'Cy11_2020_44Dists_02-07'!M46)-1))</f>
        <v>0.11351424624267792</v>
      </c>
      <c r="N46" s="40">
        <f>IF(('Cy11_2020_44Dists_02-07'!N46=0),(0),(('Cy11_2045_44Dists_02-07'!N46/'Cy11_2020_44Dists_02-07'!N46)-1))</f>
        <v>0.14140338183669643</v>
      </c>
      <c r="O46" s="41">
        <f>IF(('Cy11_2020_44Dists_02-07'!O46=0),(0),(('Cy11_2045_44Dists_02-07'!O46/'Cy11_2020_44Dists_02-07'!O46)-1))</f>
        <v>-2.4434074787075377E-2</v>
      </c>
    </row>
    <row r="47" spans="2:15" ht="15" customHeight="1">
      <c r="B47" s="16">
        <v>40</v>
      </c>
      <c r="C47" s="17" t="s">
        <v>62</v>
      </c>
      <c r="E47" s="39">
        <f>IF(('Cy11_2020_44Dists_02-07'!E47=0),(0),(('Cy11_2045_44Dists_02-07'!E47/'Cy11_2020_44Dists_02-07'!E47)-1))</f>
        <v>0.40750575323066029</v>
      </c>
      <c r="F47" s="40">
        <f>IF(('Cy11_2020_44Dists_02-07'!F47=0),(0),(('Cy11_2045_44Dists_02-07'!F47/'Cy11_2020_44Dists_02-07'!F47)-1))</f>
        <v>4.0538461538461537</v>
      </c>
      <c r="G47" s="40">
        <f>IF(('Cy11_2020_44Dists_02-07'!G47=0),(0),(('Cy11_2045_44Dists_02-07'!G47/'Cy11_2020_44Dists_02-07'!G47)-1))</f>
        <v>0.77726218097447797</v>
      </c>
      <c r="H47" s="40">
        <f>IF(('Cy11_2020_44Dists_02-07'!H47=0),(0),(('Cy11_2045_44Dists_02-07'!H47/'Cy11_2020_44Dists_02-07'!H47)-1))</f>
        <v>0.30164251207729476</v>
      </c>
      <c r="I47" s="41">
        <f>IF(('Cy11_2020_44Dists_02-07'!I47=0),(0),(('Cy11_2045_44Dists_02-07'!I47/'Cy11_2020_44Dists_02-07'!I47)-1))</f>
        <v>1.6020671834625322</v>
      </c>
      <c r="K47" s="39">
        <f>IF(('Cy11_2020_44Dists_02-07'!K47=0),(0),(('Cy11_2045_44Dists_02-07'!K47/'Cy11_2020_44Dists_02-07'!K47)-1))</f>
        <v>0.45802830649097115</v>
      </c>
      <c r="L47" s="40">
        <f>IF(('Cy11_2020_44Dists_02-07'!L47=0),(0),(('Cy11_2045_44Dists_02-07'!L47/'Cy11_2020_44Dists_02-07'!L47)-1))</f>
        <v>0</v>
      </c>
      <c r="M47" s="40">
        <f>IF(('Cy11_2020_44Dists_02-07'!M47=0),(0),(('Cy11_2045_44Dists_02-07'!M47/'Cy11_2020_44Dists_02-07'!M47)-1))</f>
        <v>1.6729055258467023</v>
      </c>
      <c r="N47" s="40">
        <f>IF(('Cy11_2020_44Dists_02-07'!N47=0),(0),(('Cy11_2045_44Dists_02-07'!N47/'Cy11_2020_44Dists_02-07'!N47)-1))</f>
        <v>1.6166936790923825</v>
      </c>
      <c r="O47" s="41">
        <f>IF(('Cy11_2020_44Dists_02-07'!O47=0),(0),(('Cy11_2045_44Dists_02-07'!O47/'Cy11_2020_44Dists_02-07'!O47)-1))</f>
        <v>2.1482012664859385E-2</v>
      </c>
    </row>
    <row r="48" spans="2:15" ht="15" customHeight="1">
      <c r="B48" s="16">
        <v>41</v>
      </c>
      <c r="C48" s="17" t="s">
        <v>63</v>
      </c>
      <c r="E48" s="39">
        <f>IF(('Cy11_2020_44Dists_02-07'!E48=0),(0),(('Cy11_2045_44Dists_02-07'!E48/'Cy11_2020_44Dists_02-07'!E48)-1))</f>
        <v>0.12000000000000011</v>
      </c>
      <c r="F48" s="40">
        <f>IF(('Cy11_2020_44Dists_02-07'!F48=0),(0),(('Cy11_2045_44Dists_02-07'!F48/'Cy11_2020_44Dists_02-07'!F48)-1))</f>
        <v>-0.41379310344827591</v>
      </c>
      <c r="G48" s="40">
        <f>IF(('Cy11_2020_44Dists_02-07'!G48=0),(0),(('Cy11_2045_44Dists_02-07'!G48/'Cy11_2020_44Dists_02-07'!G48)-1))</f>
        <v>7.8212290502793325E-2</v>
      </c>
      <c r="H48" s="40">
        <f>IF(('Cy11_2020_44Dists_02-07'!H48=0),(0),(('Cy11_2045_44Dists_02-07'!H48/'Cy11_2020_44Dists_02-07'!H48)-1))</f>
        <v>0.13135914958238426</v>
      </c>
      <c r="I48" s="41">
        <f>IF(('Cy11_2020_44Dists_02-07'!I48=0),(0),(('Cy11_2045_44Dists_02-07'!I48/'Cy11_2020_44Dists_02-07'!I48)-1))</f>
        <v>0.17333333333333334</v>
      </c>
      <c r="K48" s="39">
        <f>IF(('Cy11_2020_44Dists_02-07'!K48=0),(0),(('Cy11_2045_44Dists_02-07'!K48/'Cy11_2020_44Dists_02-07'!K48)-1))</f>
        <v>0.15991661703394877</v>
      </c>
      <c r="L48" s="40">
        <f>IF(('Cy11_2020_44Dists_02-07'!L48=0),(0),(('Cy11_2045_44Dists_02-07'!L48/'Cy11_2020_44Dists_02-07'!L48)-1))</f>
        <v>0</v>
      </c>
      <c r="M48" s="40">
        <f>IF(('Cy11_2020_44Dists_02-07'!M48=0),(0),(('Cy11_2045_44Dists_02-07'!M48/'Cy11_2020_44Dists_02-07'!M48)-1))</f>
        <v>0.160554116005581</v>
      </c>
      <c r="N48" s="40">
        <f>IF(('Cy11_2020_44Dists_02-07'!N48=0),(0),(('Cy11_2045_44Dists_02-07'!N48/'Cy11_2020_44Dists_02-07'!N48)-1))</f>
        <v>0.1555407209612818</v>
      </c>
      <c r="O48" s="41">
        <f>IF(('Cy11_2020_44Dists_02-07'!O48=0),(0),(('Cy11_2045_44Dists_02-07'!O48/'Cy11_2020_44Dists_02-07'!O48)-1))</f>
        <v>4.3385706391452228E-3</v>
      </c>
    </row>
    <row r="49" spans="2:15" ht="15" customHeight="1">
      <c r="B49" s="16">
        <v>42</v>
      </c>
      <c r="C49" s="17" t="s">
        <v>64</v>
      </c>
      <c r="E49" s="39">
        <f>IF(('Cy11_2020_44Dists_02-07'!E49=0),(0),(('Cy11_2045_44Dists_02-07'!E49/'Cy11_2020_44Dists_02-07'!E49)-1))</f>
        <v>0.11001476186776471</v>
      </c>
      <c r="F49" s="40">
        <f>IF(('Cy11_2020_44Dists_02-07'!F49=0),(0),(('Cy11_2045_44Dists_02-07'!F49/'Cy11_2020_44Dists_02-07'!F49)-1))</f>
        <v>-0.50920245398773001</v>
      </c>
      <c r="G49" s="40">
        <f>IF(('Cy11_2020_44Dists_02-07'!G49=0),(0),(('Cy11_2045_44Dists_02-07'!G49/'Cy11_2020_44Dists_02-07'!G49)-1))</f>
        <v>7.727016356457983E-2</v>
      </c>
      <c r="H49" s="40">
        <f>IF(('Cy11_2020_44Dists_02-07'!H49=0),(0),(('Cy11_2045_44Dists_02-07'!H49/'Cy11_2020_44Dists_02-07'!H49)-1))</f>
        <v>0.13279158699808802</v>
      </c>
      <c r="I49" s="41">
        <f>IF(('Cy11_2020_44Dists_02-07'!I49=0),(0),(('Cy11_2045_44Dists_02-07'!I49/'Cy11_2020_44Dists_02-07'!I49)-1))</f>
        <v>0.17948717948717952</v>
      </c>
      <c r="K49" s="39">
        <f>IF(('Cy11_2020_44Dists_02-07'!K49=0),(0),(('Cy11_2045_44Dists_02-07'!K49/'Cy11_2020_44Dists_02-07'!K49)-1))</f>
        <v>8.0091861633414752E-2</v>
      </c>
      <c r="L49" s="40">
        <f>IF(('Cy11_2020_44Dists_02-07'!L49=0),(0),(('Cy11_2045_44Dists_02-07'!L49/'Cy11_2020_44Dists_02-07'!L49)-1))</f>
        <v>0</v>
      </c>
      <c r="M49" s="40">
        <f>IF(('Cy11_2020_44Dists_02-07'!M49=0),(0),(('Cy11_2045_44Dists_02-07'!M49/'Cy11_2020_44Dists_02-07'!M49)-1))</f>
        <v>8.2666666666666666E-2</v>
      </c>
      <c r="N49" s="40">
        <f>IF(('Cy11_2020_44Dists_02-07'!N49=0),(0),(('Cy11_2045_44Dists_02-07'!N49/'Cy11_2020_44Dists_02-07'!N49)-1))</f>
        <v>0.12566991140763428</v>
      </c>
      <c r="O49" s="41">
        <f>IF(('Cy11_2020_44Dists_02-07'!O49=0),(0),(('Cy11_2045_44Dists_02-07'!O49/'Cy11_2020_44Dists_02-07'!O49)-1))</f>
        <v>-3.8202357818370336E-2</v>
      </c>
    </row>
    <row r="50" spans="2:15" ht="15" customHeight="1">
      <c r="B50" s="16">
        <v>43</v>
      </c>
      <c r="C50" s="17" t="s">
        <v>65</v>
      </c>
      <c r="E50" s="39">
        <f>IF(('Cy11_2020_44Dists_02-07'!E50=0),(0),(('Cy11_2045_44Dists_02-07'!E50/'Cy11_2020_44Dists_02-07'!E50)-1))</f>
        <v>0.1005423833875716</v>
      </c>
      <c r="F50" s="40">
        <f>IF(('Cy11_2020_44Dists_02-07'!F50=0),(0),(('Cy11_2045_44Dists_02-07'!F50/'Cy11_2020_44Dists_02-07'!F50)-1))</f>
        <v>-0.47914438502673795</v>
      </c>
      <c r="G50" s="40">
        <f>IF(('Cy11_2020_44Dists_02-07'!G50=0),(0),(('Cy11_2045_44Dists_02-07'!G50/'Cy11_2020_44Dists_02-07'!G50)-1))</f>
        <v>8.9889775750665146E-2</v>
      </c>
      <c r="H50" s="40">
        <f>IF(('Cy11_2020_44Dists_02-07'!H50=0),(0),(('Cy11_2045_44Dists_02-07'!H50/'Cy11_2020_44Dists_02-07'!H50)-1))</f>
        <v>0.13719309150646009</v>
      </c>
      <c r="I50" s="41">
        <f>IF(('Cy11_2020_44Dists_02-07'!I50=0),(0),(('Cy11_2045_44Dists_02-07'!I50/'Cy11_2020_44Dists_02-07'!I50)-1))</f>
        <v>3.6389280677009861E-2</v>
      </c>
      <c r="K50" s="39">
        <f>IF(('Cy11_2020_44Dists_02-07'!K50=0),(0),(('Cy11_2045_44Dists_02-07'!K50/'Cy11_2020_44Dists_02-07'!K50)-1))</f>
        <v>0.10695143926442729</v>
      </c>
      <c r="L50" s="40">
        <f>IF(('Cy11_2020_44Dists_02-07'!L50=0),(0),(('Cy11_2045_44Dists_02-07'!L50/'Cy11_2020_44Dists_02-07'!L50)-1))</f>
        <v>0</v>
      </c>
      <c r="M50" s="40">
        <f>IF(('Cy11_2020_44Dists_02-07'!M50=0),(0),(('Cy11_2045_44Dists_02-07'!M50/'Cy11_2020_44Dists_02-07'!M50)-1))</f>
        <v>0.10772792851491597</v>
      </c>
      <c r="N50" s="40">
        <f>IF(('Cy11_2020_44Dists_02-07'!N50=0),(0),(('Cy11_2045_44Dists_02-07'!N50/'Cy11_2020_44Dists_02-07'!N50)-1))</f>
        <v>0.12242852621584555</v>
      </c>
      <c r="O50" s="41">
        <f>IF(('Cy11_2020_44Dists_02-07'!O50=0),(0),(('Cy11_2045_44Dists_02-07'!O50/'Cy11_2020_44Dists_02-07'!O50)-1))</f>
        <v>-1.3097134790837073E-2</v>
      </c>
    </row>
    <row r="51" spans="2:15" ht="15" customHeight="1" thickBot="1">
      <c r="B51" s="16">
        <v>44</v>
      </c>
      <c r="C51" s="17" t="s">
        <v>66</v>
      </c>
      <c r="E51" s="39">
        <f>IF(('Cy11_2020_44Dists_02-07'!E51=0),(0),(('Cy11_2045_44Dists_02-07'!E51/'Cy11_2020_44Dists_02-07'!E51)-1))</f>
        <v>9.6687216135914467E-2</v>
      </c>
      <c r="F51" s="40">
        <f>IF(('Cy11_2020_44Dists_02-07'!F51=0),(0),(('Cy11_2045_44Dists_02-07'!F51/'Cy11_2020_44Dists_02-07'!F51)-1))</f>
        <v>-0.22777268560953257</v>
      </c>
      <c r="G51" s="40">
        <f>IF(('Cy11_2020_44Dists_02-07'!G51=0),(0),(('Cy11_2045_44Dists_02-07'!G51/'Cy11_2020_44Dists_02-07'!G51)-1))</f>
        <v>5.2623620142144167E-2</v>
      </c>
      <c r="H51" s="40">
        <f>IF(('Cy11_2020_44Dists_02-07'!H51=0),(0),(('Cy11_2045_44Dists_02-07'!H51/'Cy11_2020_44Dists_02-07'!H51)-1))</f>
        <v>0.13207955036748809</v>
      </c>
      <c r="I51" s="41">
        <f>IF(('Cy11_2020_44Dists_02-07'!I51=0),(0),(('Cy11_2045_44Dists_02-07'!I51/'Cy11_2020_44Dists_02-07'!I51)-1))</f>
        <v>-2.6272577996715896E-2</v>
      </c>
      <c r="K51" s="39">
        <f>IF(('Cy11_2020_44Dists_02-07'!K51=0),(0),(('Cy11_2045_44Dists_02-07'!K51/'Cy11_2020_44Dists_02-07'!K51)-1))</f>
        <v>9.470028028088362E-2</v>
      </c>
      <c r="L51" s="40">
        <f>IF(('Cy11_2020_44Dists_02-07'!L51=0),(0),(('Cy11_2045_44Dists_02-07'!L51/'Cy11_2020_44Dists_02-07'!L51)-1))</f>
        <v>0</v>
      </c>
      <c r="M51" s="40">
        <f>IF(('Cy11_2020_44Dists_02-07'!M51=0),(0),(('Cy11_2045_44Dists_02-07'!M51/'Cy11_2020_44Dists_02-07'!M51)-1))</f>
        <v>9.5704746023406617E-2</v>
      </c>
      <c r="N51" s="40">
        <f>IF(('Cy11_2020_44Dists_02-07'!N51=0),(0),(('Cy11_2045_44Dists_02-07'!N51/'Cy11_2020_44Dists_02-07'!N51)-1))</f>
        <v>0.11653778558875216</v>
      </c>
      <c r="O51" s="41">
        <f>IF(('Cy11_2020_44Dists_02-07'!O51=0),(0),(('Cy11_2045_44Dists_02-07'!O51/'Cy11_2020_44Dists_02-07'!O51)-1))</f>
        <v>-1.8658606841827741E-2</v>
      </c>
    </row>
    <row r="52" spans="2:15" ht="15" customHeight="1" thickBot="1">
      <c r="B52" s="18"/>
      <c r="C52" s="19" t="s">
        <v>3</v>
      </c>
      <c r="E52" s="42">
        <f>IF(('Cy11_2020_44Dists_02-07'!E52=0),(0),(('Cy11_2045_44Dists_02-07'!E52/'Cy11_2020_44Dists_02-07'!E52)-1))</f>
        <v>8.5214566222838295E-2</v>
      </c>
      <c r="F52" s="43">
        <f>IF(('Cy11_2020_44Dists_02-07'!F52=0),(0),(('Cy11_2045_44Dists_02-07'!F52/'Cy11_2020_44Dists_02-07'!F52)-1))</f>
        <v>-0.23344044138159048</v>
      </c>
      <c r="G52" s="43">
        <f>IF(('Cy11_2020_44Dists_02-07'!G52=0),(0),(('Cy11_2045_44Dists_02-07'!G52/'Cy11_2020_44Dists_02-07'!G52)-1))</f>
        <v>3.4899984960144348E-2</v>
      </c>
      <c r="H52" s="43">
        <f>IF(('Cy11_2020_44Dists_02-07'!H52=0),(0),(('Cy11_2045_44Dists_02-07'!H52/'Cy11_2020_44Dists_02-07'!H52)-1))</f>
        <v>0.13861957119398105</v>
      </c>
      <c r="I52" s="44">
        <f>IF(('Cy11_2020_44Dists_02-07'!I52=0),(0),(('Cy11_2045_44Dists_02-07'!I52/'Cy11_2020_44Dists_02-07'!I52)-1))</f>
        <v>1.2247639580297509E-2</v>
      </c>
      <c r="J52" s="45"/>
      <c r="K52" s="42">
        <f>IF(('Cy11_2020_44Dists_02-07'!K52=0),(0),(('Cy11_2045_44Dists_02-07'!K52/'Cy11_2020_44Dists_02-07'!K52)-1))</f>
        <v>0.11897021857260026</v>
      </c>
      <c r="L52" s="43">
        <f>IF(('Cy11_2020_44Dists_02-07'!L52=0),(0),(('Cy11_2045_44Dists_02-07'!L52/'Cy11_2020_44Dists_02-07'!L52)-1))</f>
        <v>0</v>
      </c>
      <c r="M52" s="43">
        <f>IF(('Cy11_2020_44Dists_02-07'!M52=0),(0),(('Cy11_2045_44Dists_02-07'!M52/'Cy11_2020_44Dists_02-07'!M52)-1))</f>
        <v>0.12261114037583987</v>
      </c>
      <c r="N52" s="43">
        <f>IF(('Cy11_2020_44Dists_02-07'!N52=0),(0),(('Cy11_2045_44Dists_02-07'!N52/'Cy11_2020_44Dists_02-07'!N52)-1))</f>
        <v>0.14672650830041301</v>
      </c>
      <c r="O52" s="44">
        <f>IF(('Cy11_2020_44Dists_02-07'!O52=0),(0),(('Cy11_2045_44Dists_02-07'!O52/'Cy11_2020_44Dists_02-07'!O52)-1))</f>
        <v>-2.1029746630968682E-2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Cy11_2020_44Dists_02-07</vt:lpstr>
      <vt:lpstr>Cy11_2045_44Dists_02-07</vt:lpstr>
      <vt:lpstr>Cy11_Diff2020to2045_02-07</vt:lpstr>
      <vt:lpstr>Cy11_PercentDiff20to45_02-07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Chuck Imbrogno</dc:creator>
  <cp:lastModifiedBy>chucki</cp:lastModifiedBy>
  <dcterms:created xsi:type="dcterms:W3CDTF">2016-09-09T17:53:09Z</dcterms:created>
  <dcterms:modified xsi:type="dcterms:W3CDTF">2020-02-06T21:31:46Z</dcterms:modified>
</cp:coreProperties>
</file>