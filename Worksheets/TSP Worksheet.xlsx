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y_sam/Dropbox/Documents/CMU/Classes/Spring 2020/Systems/git/PPT_East_Busway/"/>
    </mc:Choice>
  </mc:AlternateContent>
  <xr:revisionPtr revIDLastSave="0" documentId="13_ncr:1_{50A08A8D-BF17-CC4D-A09F-2DF69096BAA1}" xr6:coauthVersionLast="45" xr6:coauthVersionMax="45" xr10:uidLastSave="{00000000-0000-0000-0000-000000000000}"/>
  <bookViews>
    <workbookView xWindow="1480" yWindow="700" windowWidth="27800" windowHeight="18300" xr2:uid="{41D947DC-3AC8-3B4D-8310-2ABF4C6E13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6" i="1" l="1"/>
  <c r="K15" i="1"/>
  <c r="J15" i="1" l="1"/>
  <c r="K13" i="1"/>
  <c r="J13" i="1"/>
  <c r="K14" i="1"/>
  <c r="J14" i="1"/>
  <c r="F12" i="1" l="1"/>
  <c r="I12" i="1" s="1"/>
  <c r="F13" i="1"/>
  <c r="F14" i="1"/>
  <c r="I14" i="1" s="1"/>
  <c r="F15" i="1"/>
  <c r="I15" i="1" s="1"/>
  <c r="F16" i="1"/>
  <c r="I16" i="1" s="1"/>
  <c r="G13" i="1"/>
  <c r="I13" i="1"/>
  <c r="K12" i="1"/>
  <c r="J12" i="1"/>
  <c r="G12" i="1" l="1"/>
  <c r="H13" i="1"/>
  <c r="M13" i="1" s="1"/>
  <c r="Q16" i="1"/>
  <c r="N16" i="1"/>
  <c r="G16" i="1"/>
  <c r="O16" i="1"/>
  <c r="L16" i="1"/>
  <c r="H16" i="1"/>
  <c r="M16" i="1" s="1"/>
  <c r="Q15" i="1"/>
  <c r="N15" i="1"/>
  <c r="G15" i="1"/>
  <c r="O15" i="1" s="1"/>
  <c r="H15" i="1"/>
  <c r="M15" i="1" s="1"/>
  <c r="N14" i="1"/>
  <c r="Q14" i="1"/>
  <c r="G14" i="1"/>
  <c r="L14" i="1" s="1"/>
  <c r="O14" i="1"/>
  <c r="H14" i="1"/>
  <c r="M14" i="1" s="1"/>
  <c r="Q13" i="1"/>
  <c r="Q12" i="1"/>
  <c r="N12" i="1"/>
  <c r="H12" i="1"/>
  <c r="N13" i="1"/>
  <c r="O13" i="1"/>
  <c r="P14" i="1" l="1"/>
  <c r="P16" i="1"/>
  <c r="P15" i="1"/>
  <c r="L15" i="1"/>
  <c r="P13" i="1"/>
  <c r="O12" i="1"/>
  <c r="L12" i="1"/>
  <c r="P12" i="1"/>
  <c r="M12" i="1"/>
  <c r="L13" i="1"/>
</calcChain>
</file>

<file path=xl/sharedStrings.xml><?xml version="1.0" encoding="utf-8"?>
<sst xmlns="http://schemas.openxmlformats.org/spreadsheetml/2006/main" count="32" uniqueCount="26">
  <si>
    <t>61A</t>
  </si>
  <si>
    <t>Route</t>
  </si>
  <si>
    <t># Traffic Signals</t>
  </si>
  <si>
    <t>Parameters</t>
  </si>
  <si>
    <t>Signal Cycle Time (s)</t>
  </si>
  <si>
    <t>Main Road Cycle Share</t>
  </si>
  <si>
    <t xml:space="preserve">Percent Signals Main Road </t>
  </si>
  <si>
    <t>Savings Low Estimate</t>
  </si>
  <si>
    <t>Savings Medium Estimate</t>
  </si>
  <si>
    <t>Savings High Estimate</t>
  </si>
  <si>
    <t>Time Savings (min)</t>
  </si>
  <si>
    <t>Low</t>
  </si>
  <si>
    <t>Medium</t>
  </si>
  <si>
    <t>High</t>
  </si>
  <si>
    <t>Peak</t>
  </si>
  <si>
    <t>Average Trip Time (min)</t>
  </si>
  <si>
    <t>Improved Peak Time</t>
  </si>
  <si>
    <t>Improved Offpeak Time</t>
  </si>
  <si>
    <t>Offpeak</t>
  </si>
  <si>
    <t>Route Characteristics</t>
  </si>
  <si>
    <t>61B</t>
  </si>
  <si>
    <t>Percent Signals with TSP</t>
  </si>
  <si>
    <t>Time at TSP Signals (min)</t>
  </si>
  <si>
    <t>61C</t>
  </si>
  <si>
    <t>61D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</si>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</sst>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B7C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9" fontId="0" fillId="0" borderId="0" xfId="0" applyNumberFormat="1" applyBorder="1" applyAlignment="1">
      <alignment horizontal="right"/>
    </xf>
    <xf numFmtId="0" fontId="0" fillId="0" borderId="2" xfId="0" applyBorder="1"/>
    <xf numFmtId="1" fontId="0" fillId="0" borderId="2" xfId="0" applyNumberFormat="1" applyBorder="1"/>
    <xf numFmtId="1" fontId="0" fillId="0" borderId="1" xfId="0" applyNumberFormat="1" applyBorder="1"/>
    <xf numFmtId="1" fontId="0" fillId="0" borderId="0" xfId="0" applyNumberFormat="1" applyBorder="1"/>
    <xf numFmtId="0" fontId="1" fillId="0" borderId="3" xfId="0" applyFont="1" applyBorder="1" applyAlignment="1">
      <alignment horizontal="center" wrapText="1"/>
    </xf>
    <xf numFmtId="0" fontId="1" fillId="2" borderId="2" xfId="0" applyFont="1" applyFill="1" applyBorder="1"/>
    <xf numFmtId="0" fontId="1" fillId="2" borderId="1" xfId="0" applyFont="1" applyFill="1" applyBorder="1"/>
    <xf numFmtId="9" fontId="1" fillId="2" borderId="1" xfId="0" applyNumberFormat="1" applyFont="1" applyFill="1" applyBorder="1"/>
    <xf numFmtId="0" fontId="1" fillId="2" borderId="6" xfId="0" applyFont="1" applyFill="1" applyBorder="1"/>
    <xf numFmtId="9" fontId="1" fillId="2" borderId="7" xfId="0" applyNumberFormat="1" applyFont="1" applyFill="1" applyBorder="1"/>
    <xf numFmtId="0" fontId="1" fillId="0" borderId="4" xfId="0" applyFont="1" applyBorder="1"/>
    <xf numFmtId="0" fontId="0" fillId="0" borderId="3" xfId="0" applyBorder="1"/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right"/>
    </xf>
    <xf numFmtId="9" fontId="0" fillId="0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B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3D96-041E-5144-888A-FC39FE039E0E}">
  <dimension ref="A1:Q16"/>
  <sheetViews>
    <sheetView tabSelected="1" zoomScale="86" workbookViewId="0">
      <selection activeCell="J16" sqref="J16"/>
    </sheetView>
  </sheetViews>
  <sheetFormatPr baseColWidth="10" defaultRowHeight="16" x14ac:dyDescent="0.2"/>
  <cols>
    <col min="2" max="2" width="6.6640625" customWidth="1"/>
    <col min="3" max="3" width="12.5" customWidth="1"/>
    <col min="4" max="4" width="15.33203125" customWidth="1"/>
    <col min="5" max="5" width="22" customWidth="1"/>
    <col min="6" max="6" width="19" customWidth="1"/>
    <col min="7" max="7" width="14" customWidth="1"/>
    <col min="8" max="8" width="13" customWidth="1"/>
    <col min="9" max="13" width="12.33203125" customWidth="1"/>
    <col min="14" max="15" width="13.1640625" customWidth="1"/>
    <col min="16" max="16" width="13.5" customWidth="1"/>
  </cols>
  <sheetData>
    <row r="1" spans="1:17" x14ac:dyDescent="0.2">
      <c r="E1" s="15" t="s">
        <v>3</v>
      </c>
      <c r="F1" s="16"/>
    </row>
    <row r="2" spans="1:17" x14ac:dyDescent="0.2">
      <c r="E2" s="10" t="s">
        <v>4</v>
      </c>
      <c r="F2" s="11">
        <v>60</v>
      </c>
    </row>
    <row r="3" spans="1:17" x14ac:dyDescent="0.2">
      <c r="E3" s="10" t="s">
        <v>5</v>
      </c>
      <c r="F3" s="12">
        <v>0.66</v>
      </c>
    </row>
    <row r="4" spans="1:17" x14ac:dyDescent="0.2">
      <c r="E4" s="10" t="s">
        <v>7</v>
      </c>
      <c r="F4" s="12">
        <v>0.02</v>
      </c>
    </row>
    <row r="5" spans="1:17" x14ac:dyDescent="0.2">
      <c r="E5" s="10" t="s">
        <v>8</v>
      </c>
      <c r="F5" s="12">
        <v>0.1</v>
      </c>
    </row>
    <row r="6" spans="1:17" x14ac:dyDescent="0.2">
      <c r="E6" s="13" t="s">
        <v>9</v>
      </c>
      <c r="F6" s="14">
        <v>0.2</v>
      </c>
    </row>
    <row r="10" spans="1:17" x14ac:dyDescent="0.2">
      <c r="B10" s="2"/>
      <c r="C10" s="25" t="s">
        <v>19</v>
      </c>
      <c r="D10" s="26"/>
      <c r="E10" s="26"/>
      <c r="F10" s="27"/>
      <c r="G10" s="22" t="s">
        <v>10</v>
      </c>
      <c r="H10" s="23"/>
      <c r="I10" s="24"/>
      <c r="J10" s="28" t="s">
        <v>15</v>
      </c>
      <c r="K10" s="29"/>
      <c r="L10" s="30" t="s">
        <v>16</v>
      </c>
      <c r="M10" s="31"/>
      <c r="N10" s="32"/>
      <c r="O10" s="33" t="s">
        <v>17</v>
      </c>
      <c r="P10" s="34"/>
      <c r="Q10" s="35"/>
    </row>
    <row r="11" spans="1:17" ht="39" customHeight="1" x14ac:dyDescent="0.2">
      <c r="A11" s="2"/>
      <c r="B11" s="9" t="s">
        <v>1</v>
      </c>
      <c r="C11" s="17" t="s">
        <v>2</v>
      </c>
      <c r="D11" s="18" t="s">
        <v>6</v>
      </c>
      <c r="E11" s="18" t="s">
        <v>21</v>
      </c>
      <c r="F11" s="21" t="s">
        <v>22</v>
      </c>
      <c r="G11" s="19" t="s">
        <v>11</v>
      </c>
      <c r="H11" s="20" t="s">
        <v>12</v>
      </c>
      <c r="I11" s="21" t="s">
        <v>13</v>
      </c>
      <c r="J11" s="17" t="s">
        <v>14</v>
      </c>
      <c r="K11" s="21" t="s">
        <v>18</v>
      </c>
      <c r="L11" s="17" t="s">
        <v>11</v>
      </c>
      <c r="M11" s="18" t="s">
        <v>12</v>
      </c>
      <c r="N11" s="21" t="s">
        <v>13</v>
      </c>
      <c r="O11" s="17" t="s">
        <v>11</v>
      </c>
      <c r="P11" s="18" t="s">
        <v>12</v>
      </c>
      <c r="Q11" s="21" t="s">
        <v>13</v>
      </c>
    </row>
    <row r="12" spans="1:17" x14ac:dyDescent="0.2">
      <c r="A12" s="2"/>
      <c r="B12" s="1" t="s">
        <v>0</v>
      </c>
      <c r="C12" s="3">
        <v>84</v>
      </c>
      <c r="D12" s="4">
        <v>1</v>
      </c>
      <c r="E12" s="4">
        <v>1</v>
      </c>
      <c r="F12" s="7">
        <f>$C12*$F$2*$E12*($D12*(1-$F$3) + $F$3 * (1-$D12)) /60</f>
        <v>28.56</v>
      </c>
      <c r="G12" s="6">
        <f>F12*$F$4</f>
        <v>0.57120000000000004</v>
      </c>
      <c r="H12" s="8">
        <f>F12*$F$5</f>
        <v>2.8559999999999999</v>
      </c>
      <c r="I12" s="7">
        <f>F12*$F$6</f>
        <v>5.7119999999999997</v>
      </c>
      <c r="J12" s="6">
        <f>(71+64)/2</f>
        <v>67.5</v>
      </c>
      <c r="K12" s="7">
        <f>(62+55)/2</f>
        <v>58.5</v>
      </c>
      <c r="L12" s="6">
        <f>J12-G12</f>
        <v>66.928799999999995</v>
      </c>
      <c r="M12" s="8">
        <f>J12-H12</f>
        <v>64.644000000000005</v>
      </c>
      <c r="N12" s="7">
        <f>J12-I12</f>
        <v>61.787999999999997</v>
      </c>
      <c r="O12" s="6">
        <f>K12-G12</f>
        <v>57.928800000000003</v>
      </c>
      <c r="P12" s="8">
        <f>K12-H12</f>
        <v>55.643999999999998</v>
      </c>
      <c r="Q12" s="7">
        <f>K12-I12</f>
        <v>52.787999999999997</v>
      </c>
    </row>
    <row r="13" spans="1:17" x14ac:dyDescent="0.2">
      <c r="A13" s="2"/>
      <c r="B13" s="1" t="s">
        <v>20</v>
      </c>
      <c r="C13" s="3">
        <v>79</v>
      </c>
      <c r="D13" s="4">
        <v>1</v>
      </c>
      <c r="E13" s="4">
        <v>1</v>
      </c>
      <c r="F13" s="7">
        <f t="shared" ref="F13:F16" si="0">$C13*$F$2*$E13*($D13*(1-$F$3) + $F$3 * (1-$D13)) /60</f>
        <v>26.86</v>
      </c>
      <c r="G13" s="6">
        <f>F13*$F$4</f>
        <v>0.53720000000000001</v>
      </c>
      <c r="H13" s="8">
        <f>F13*$F$5</f>
        <v>2.6859999999999999</v>
      </c>
      <c r="I13" s="7">
        <f>F13*$F$6</f>
        <v>5.3719999999999999</v>
      </c>
      <c r="J13" s="6">
        <f>(58+51)/2</f>
        <v>54.5</v>
      </c>
      <c r="K13" s="7">
        <f>(52+45)/2</f>
        <v>48.5</v>
      </c>
      <c r="L13" s="6">
        <f>J13-G13</f>
        <v>53.962800000000001</v>
      </c>
      <c r="M13" s="8">
        <f>J13-H13</f>
        <v>51.814</v>
      </c>
      <c r="N13" s="7">
        <f>J13-I13</f>
        <v>49.128</v>
      </c>
      <c r="O13" s="6">
        <f>K13-G13</f>
        <v>47.962800000000001</v>
      </c>
      <c r="P13" s="8">
        <f>K13-H13</f>
        <v>45.814</v>
      </c>
      <c r="Q13" s="7">
        <f>K13-I13</f>
        <v>43.128</v>
      </c>
    </row>
    <row r="14" spans="1:17" x14ac:dyDescent="0.2">
      <c r="A14" s="2"/>
      <c r="B14" s="1" t="s">
        <v>23</v>
      </c>
      <c r="C14" s="5">
        <v>105</v>
      </c>
      <c r="D14" s="4">
        <v>1</v>
      </c>
      <c r="E14" s="4">
        <v>1</v>
      </c>
      <c r="F14" s="7">
        <f t="shared" si="0"/>
        <v>35.700000000000003</v>
      </c>
      <c r="G14" s="6">
        <f>F14*$F$4</f>
        <v>0.71400000000000008</v>
      </c>
      <c r="H14" s="8">
        <f>F14*$F$5</f>
        <v>3.5700000000000003</v>
      </c>
      <c r="I14" s="7">
        <f>F14*$F$6</f>
        <v>7.1400000000000006</v>
      </c>
      <c r="J14" s="6">
        <f>(76+66)/2</f>
        <v>71</v>
      </c>
      <c r="K14" s="7">
        <f>(68+57)/2</f>
        <v>62.5</v>
      </c>
      <c r="L14" s="6">
        <f>J14-G14</f>
        <v>70.286000000000001</v>
      </c>
      <c r="M14" s="8">
        <f>J14-H14</f>
        <v>67.430000000000007</v>
      </c>
      <c r="N14" s="7">
        <f>J14-I14</f>
        <v>63.86</v>
      </c>
      <c r="O14" s="6">
        <f>K14-G14</f>
        <v>61.786000000000001</v>
      </c>
      <c r="P14" s="8">
        <f>K14-H14</f>
        <v>58.93</v>
      </c>
      <c r="Q14" s="7">
        <f>K14-I14</f>
        <v>55.36</v>
      </c>
    </row>
    <row r="15" spans="1:17" x14ac:dyDescent="0.2">
      <c r="A15" s="2"/>
      <c r="B15" s="36" t="s">
        <v>24</v>
      </c>
      <c r="C15" s="5">
        <v>81</v>
      </c>
      <c r="D15" s="4">
        <v>1</v>
      </c>
      <c r="E15" s="4">
        <v>1</v>
      </c>
      <c r="F15" s="7">
        <f t="shared" si="0"/>
        <v>27.54</v>
      </c>
      <c r="G15" s="6">
        <f>F15*$F$4</f>
        <v>0.55079999999999996</v>
      </c>
      <c r="H15" s="8">
        <f>F15*$F$5</f>
        <v>2.754</v>
      </c>
      <c r="I15" s="7">
        <f>F15*$F$6</f>
        <v>5.508</v>
      </c>
      <c r="J15" s="6">
        <f>(61+43)/2</f>
        <v>52</v>
      </c>
      <c r="K15" s="7">
        <f>(53+41)/2</f>
        <v>47</v>
      </c>
      <c r="L15" s="6">
        <f>J15-G15</f>
        <v>51.449199999999998</v>
      </c>
      <c r="M15" s="8">
        <f>J15-H15</f>
        <v>49.246000000000002</v>
      </c>
      <c r="N15" s="7">
        <f>J15-I15</f>
        <v>46.491999999999997</v>
      </c>
      <c r="O15" s="6">
        <f>K15-G15</f>
        <v>46.449199999999998</v>
      </c>
      <c r="P15" s="8">
        <f>K15-H15</f>
        <v>44.246000000000002</v>
      </c>
      <c r="Q15" s="7">
        <f>K15-I15</f>
        <v>41.491999999999997</v>
      </c>
    </row>
    <row r="16" spans="1:17" x14ac:dyDescent="0.2">
      <c r="A16" s="2"/>
      <c r="B16" s="1" t="s">
        <v>25</v>
      </c>
      <c r="C16" s="5">
        <v>44</v>
      </c>
      <c r="D16" s="37">
        <v>1</v>
      </c>
      <c r="E16" s="37">
        <v>0.5</v>
      </c>
      <c r="F16" s="7">
        <f t="shared" si="0"/>
        <v>7.4799999999999995</v>
      </c>
      <c r="G16" s="6">
        <f>F16*$F$4</f>
        <v>0.14959999999999998</v>
      </c>
      <c r="H16" s="8">
        <f>F16*$F$5</f>
        <v>0.748</v>
      </c>
      <c r="I16" s="7">
        <f>F16*$F$6</f>
        <v>1.496</v>
      </c>
      <c r="J16" s="6">
        <f>(55+48)/2</f>
        <v>51.5</v>
      </c>
      <c r="K16" s="7"/>
      <c r="L16" s="6">
        <f>J16-G16</f>
        <v>51.3504</v>
      </c>
      <c r="M16" s="8">
        <f>J16-H16</f>
        <v>50.752000000000002</v>
      </c>
      <c r="N16" s="7">
        <f>J16-I16</f>
        <v>50.003999999999998</v>
      </c>
      <c r="O16" s="6">
        <f>K16-G16</f>
        <v>-0.14959999999999998</v>
      </c>
      <c r="P16" s="8">
        <f>K16-H16</f>
        <v>-0.748</v>
      </c>
      <c r="Q16" s="7">
        <f>K16-I16</f>
        <v>-1.496</v>
      </c>
    </row>
  </sheetData>
  <mergeCells count="5">
    <mergeCell ref="G10:I10"/>
    <mergeCell ref="J10:K10"/>
    <mergeCell ref="L10:N10"/>
    <mergeCell ref="O10:Q10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SSamach</dc:creator>
  <cp:lastModifiedBy>Matt SSamach</cp:lastModifiedBy>
  <dcterms:created xsi:type="dcterms:W3CDTF">2020-04-24T21:07:47Z</dcterms:created>
  <dcterms:modified xsi:type="dcterms:W3CDTF">2020-04-25T16:33:07Z</dcterms:modified>
</cp:coreProperties>
</file>