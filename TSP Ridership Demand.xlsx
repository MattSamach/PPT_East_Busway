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nnie\Dropbox\Lenovo Files\CMU\Traffic 21\Beyond the East Busway\repos\PPT_East_Busway\"/>
    </mc:Choice>
  </mc:AlternateContent>
  <xr:revisionPtr revIDLastSave="0" documentId="13_ncr:1_{6FDEFFA8-44D1-4F5C-9430-A5EBEE10FB48}" xr6:coauthVersionLast="44" xr6:coauthVersionMax="44" xr10:uidLastSave="{00000000-0000-0000-0000-000000000000}"/>
  <bookViews>
    <workbookView xWindow="-120" yWindow="-120" windowWidth="20730" windowHeight="11160" activeTab="2" xr2:uid="{CBAE8F21-9239-4F13-8088-AF82BCE7EBEB}"/>
  </bookViews>
  <sheets>
    <sheet name="Sheet1" sheetId="1" r:id="rId1"/>
    <sheet name="Wkdy Peak Trip Count" sheetId="4" r:id="rId2"/>
    <sheet name="TS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33" i="3" l="1"/>
  <c r="O33" i="3"/>
  <c r="N33" i="3"/>
  <c r="P25" i="3"/>
  <c r="O25" i="3"/>
  <c r="N25" i="3"/>
  <c r="P32" i="3"/>
  <c r="O32" i="3"/>
  <c r="N32" i="3"/>
  <c r="P31" i="3"/>
  <c r="O31" i="3"/>
  <c r="N31" i="3"/>
  <c r="P30" i="3"/>
  <c r="O30" i="3"/>
  <c r="N30" i="3"/>
  <c r="P29" i="3"/>
  <c r="O29" i="3"/>
  <c r="N29" i="3"/>
  <c r="P24" i="3"/>
  <c r="O24" i="3"/>
  <c r="N24" i="3"/>
  <c r="P23" i="3"/>
  <c r="O23" i="3"/>
  <c r="N23" i="3"/>
  <c r="P22" i="3"/>
  <c r="O22" i="3"/>
  <c r="N22" i="3"/>
  <c r="P21" i="3"/>
  <c r="O21" i="3"/>
  <c r="N21" i="3"/>
  <c r="K21" i="3"/>
  <c r="M32" i="3"/>
  <c r="L32" i="3"/>
  <c r="K32" i="3"/>
  <c r="M31" i="3"/>
  <c r="L31" i="3"/>
  <c r="K31" i="3"/>
  <c r="M30" i="3"/>
  <c r="L30" i="3"/>
  <c r="K30" i="3"/>
  <c r="M29" i="3"/>
  <c r="L29" i="3"/>
  <c r="K29" i="3"/>
  <c r="L21" i="3"/>
  <c r="M21" i="3"/>
  <c r="K22" i="3"/>
  <c r="L22" i="3"/>
  <c r="M22" i="3"/>
  <c r="K23" i="3"/>
  <c r="L23" i="3"/>
  <c r="M23" i="3"/>
  <c r="K24" i="3"/>
  <c r="L24" i="3"/>
  <c r="M24" i="3"/>
  <c r="N10" i="1"/>
  <c r="N11" i="1"/>
  <c r="N12" i="1"/>
  <c r="N9" i="1"/>
  <c r="M10" i="1"/>
  <c r="M11" i="1"/>
  <c r="M12" i="1"/>
  <c r="M9" i="1"/>
  <c r="L12" i="1"/>
  <c r="L11" i="1"/>
  <c r="L10" i="1"/>
  <c r="L9" i="1"/>
  <c r="K12" i="1"/>
  <c r="K11" i="1"/>
  <c r="K10" i="1"/>
  <c r="K9" i="1"/>
  <c r="J16" i="3"/>
  <c r="I16" i="3"/>
  <c r="J15" i="3"/>
  <c r="I15" i="3"/>
  <c r="J14" i="3"/>
  <c r="I14" i="3"/>
  <c r="J13" i="3"/>
  <c r="I13" i="3"/>
  <c r="J12" i="3"/>
  <c r="I12" i="3"/>
  <c r="L15" i="3"/>
  <c r="E22" i="3"/>
  <c r="E29" i="3"/>
  <c r="E30" i="3"/>
  <c r="L14" i="3"/>
  <c r="M14" i="3"/>
  <c r="H14" i="3"/>
  <c r="P14" i="3"/>
  <c r="K16" i="3"/>
  <c r="F16" i="3"/>
  <c r="N16" i="3"/>
  <c r="R16" i="3"/>
  <c r="Q16" i="3"/>
  <c r="O16" i="3"/>
  <c r="S16" i="3"/>
  <c r="M13" i="3"/>
  <c r="H13" i="3"/>
  <c r="P13" i="3"/>
  <c r="N14" i="3"/>
  <c r="F14" i="3"/>
  <c r="K14" i="3"/>
  <c r="E32" i="3"/>
  <c r="E31" i="3"/>
  <c r="P16" i="3"/>
  <c r="H16" i="3"/>
  <c r="M16" i="3"/>
  <c r="L13" i="3"/>
  <c r="E21" i="3"/>
  <c r="E23" i="3"/>
  <c r="S12" i="3"/>
  <c r="R12" i="3"/>
  <c r="O12" i="3"/>
  <c r="Q12" i="3"/>
  <c r="K13" i="3"/>
  <c r="F13" i="3"/>
  <c r="N13" i="3"/>
  <c r="Q14" i="3"/>
  <c r="S14" i="3"/>
  <c r="E14" i="3"/>
  <c r="G14" i="3"/>
  <c r="O14" i="3"/>
  <c r="R14" i="3"/>
  <c r="E16" i="3"/>
  <c r="G16" i="3"/>
  <c r="L16" i="3"/>
  <c r="N12" i="3"/>
  <c r="F12" i="3"/>
  <c r="K12" i="3"/>
  <c r="M15" i="3"/>
  <c r="H15" i="3"/>
  <c r="P15" i="3"/>
  <c r="M12" i="3"/>
  <c r="H12" i="3"/>
  <c r="P12" i="3"/>
  <c r="K15" i="3"/>
  <c r="F15" i="3"/>
  <c r="N15" i="3"/>
  <c r="S13" i="3"/>
  <c r="R13" i="3"/>
  <c r="E13" i="3"/>
  <c r="G13" i="3"/>
  <c r="O13" i="3"/>
  <c r="Q13" i="3"/>
  <c r="S15" i="3"/>
  <c r="Q15" i="3"/>
  <c r="E15" i="3"/>
  <c r="G15" i="3"/>
  <c r="O15" i="3"/>
  <c r="R15" i="3"/>
  <c r="E12" i="3"/>
  <c r="G12" i="3"/>
  <c r="L12" i="3"/>
  <c r="E24" i="3"/>
</calcChain>
</file>

<file path=xl/sharedStrings.xml><?xml version="1.0" encoding="utf-8"?>
<sst xmlns="http://schemas.openxmlformats.org/spreadsheetml/2006/main" count="199" uniqueCount="98">
  <si>
    <t>Route Number</t>
  </si>
  <si>
    <t>Route Name</t>
  </si>
  <si>
    <t>Interest Area(s)</t>
  </si>
  <si>
    <t>RdTp_Length</t>
  </si>
  <si>
    <t>Service Type</t>
  </si>
  <si>
    <t>Stops_Inbound</t>
  </si>
  <si>
    <t>Stops_Outbound</t>
  </si>
  <si>
    <t>Stops_Both</t>
  </si>
  <si>
    <t># of Traffics Signals</t>
  </si>
  <si>
    <t>Walkshed Population</t>
  </si>
  <si>
    <t>Avg Equity Score</t>
  </si>
  <si>
    <t>Public Transportation Commute</t>
  </si>
  <si>
    <t>No Vehicle Households</t>
  </si>
  <si>
    <t>Median Income</t>
  </si>
  <si>
    <t>Service Garage</t>
  </si>
  <si>
    <t>Total Ridership</t>
  </si>
  <si>
    <t>Avg Ridership</t>
  </si>
  <si>
    <t>Trips_Inbound</t>
  </si>
  <si>
    <t>Trips_Outbound</t>
  </si>
  <si>
    <t>Start_Inbound</t>
  </si>
  <si>
    <t>End_InBound</t>
  </si>
  <si>
    <t>Start_Outbound</t>
  </si>
  <si>
    <t>End_OutBound</t>
  </si>
  <si>
    <t>Avg_Headway_Inbound_Peak</t>
  </si>
  <si>
    <t>Avg_Headway_Inbound_OffPeak</t>
  </si>
  <si>
    <t>Avg_Headway_Outbound_Peak</t>
  </si>
  <si>
    <t>Avg_Headway_Outbound_OffPeak</t>
  </si>
  <si>
    <t>Peak_No_Units</t>
  </si>
  <si>
    <t>Time_Inbound_Pk</t>
  </si>
  <si>
    <t>Time_Inbound_OffPk</t>
  </si>
  <si>
    <t>Time_Outbound_Pk</t>
  </si>
  <si>
    <t>Time_Outbound_OffPk</t>
  </si>
  <si>
    <t>Avg_Headway_Inbound</t>
  </si>
  <si>
    <t>Avg_Headway_Outbound</t>
  </si>
  <si>
    <t># of Units</t>
  </si>
  <si>
    <t>Time_Inbound</t>
  </si>
  <si>
    <t>Time_Outbound</t>
  </si>
  <si>
    <t>61A</t>
  </si>
  <si>
    <t>Swissvale</t>
  </si>
  <si>
    <t>Both</t>
  </si>
  <si>
    <t>Key Corridor</t>
  </si>
  <si>
    <t>West Mifflin</t>
  </si>
  <si>
    <t>61B</t>
  </si>
  <si>
    <t>Braddock - Swissvale</t>
  </si>
  <si>
    <t>61C</t>
  </si>
  <si>
    <t>McKeesport - Homestead</t>
  </si>
  <si>
    <t>McKeesport and Mon Valley</t>
  </si>
  <si>
    <t>61D</t>
  </si>
  <si>
    <t>Murray</t>
  </si>
  <si>
    <t>Route</t>
  </si>
  <si>
    <t>P7</t>
  </si>
  <si>
    <t># Traffic Signals</t>
  </si>
  <si>
    <t xml:space="preserve">Percent Signals Main Road </t>
  </si>
  <si>
    <t>Percent Signals with TSP</t>
  </si>
  <si>
    <t>Time at TSP Signals (min)</t>
  </si>
  <si>
    <t>Low</t>
  </si>
  <si>
    <t>Medium</t>
  </si>
  <si>
    <t>High</t>
  </si>
  <si>
    <t>Peak</t>
  </si>
  <si>
    <t>Offpeak</t>
  </si>
  <si>
    <t>Parameters</t>
  </si>
  <si>
    <t>Signal Cycle Time (s)</t>
  </si>
  <si>
    <t>Main Road Cycle Share</t>
  </si>
  <si>
    <t>Savings Low Estimate</t>
  </si>
  <si>
    <t>Savings Medium Estimate</t>
  </si>
  <si>
    <t>Savings High Estimate</t>
  </si>
  <si>
    <t>Route Characteristics</t>
  </si>
  <si>
    <t>Time Savings (min)</t>
  </si>
  <si>
    <t>Average Trip Time (min)</t>
  </si>
  <si>
    <t>Improved Peak Time</t>
  </si>
  <si>
    <t>Improved Offpeak Time</t>
  </si>
  <si>
    <t>TripCount</t>
  </si>
  <si>
    <t>Trip_HRS_Service</t>
  </si>
  <si>
    <t>061A</t>
  </si>
  <si>
    <t>061B</t>
  </si>
  <si>
    <t>061C</t>
  </si>
  <si>
    <t>061D</t>
  </si>
  <si>
    <t>Avg Wkday Ridership</t>
  </si>
  <si>
    <t>Total Weekday</t>
  </si>
  <si>
    <t>Wkday_Peak_Trips</t>
  </si>
  <si>
    <t>Avg Sat Ridership</t>
  </si>
  <si>
    <t>Avg Sun Ridership</t>
  </si>
  <si>
    <t>Weekday</t>
  </si>
  <si>
    <t>Saturday</t>
  </si>
  <si>
    <t>Sunday</t>
  </si>
  <si>
    <t>Avg Peak Wkday Ridership</t>
  </si>
  <si>
    <t>Total Peak</t>
  </si>
  <si>
    <t>Total Off Peak</t>
  </si>
  <si>
    <t>Peak Ridership</t>
  </si>
  <si>
    <t>Offpeak Ridership</t>
  </si>
  <si>
    <t>Elasticity Off-Peak</t>
  </si>
  <si>
    <t>Trip Time</t>
  </si>
  <si>
    <t>Current</t>
  </si>
  <si>
    <t>Total Peak Ridership Increase</t>
  </si>
  <si>
    <t>Total Offpeak Ridership Increase</t>
  </si>
  <si>
    <t>Travel Time Improvement</t>
  </si>
  <si>
    <t>Elasticity Peak</t>
  </si>
  <si>
    <t>Compare to 2045 No Build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</si>
</sst>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$&quot;#,##0"/>
    <numFmt numFmtId="165" formatCode="0.0%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7B7C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4">
    <xf numFmtId="0" fontId="0" fillId="0" borderId="0" xfId="0"/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3" fontId="4" fillId="0" borderId="0" xfId="0" applyNumberFormat="1" applyFont="1" applyAlignment="1">
      <alignment horizontal="left" vertical="top"/>
    </xf>
    <xf numFmtId="10" fontId="4" fillId="0" borderId="0" xfId="0" applyNumberFormat="1" applyFont="1" applyAlignment="1">
      <alignment horizontal="left" vertical="top"/>
    </xf>
    <xf numFmtId="10" fontId="3" fillId="0" borderId="0" xfId="0" applyNumberFormat="1" applyFont="1" applyAlignment="1">
      <alignment horizontal="left" vertical="top"/>
    </xf>
    <xf numFmtId="164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right"/>
    </xf>
    <xf numFmtId="21" fontId="4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/>
    </xf>
    <xf numFmtId="0" fontId="5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5" fillId="2" borderId="5" xfId="0" applyFont="1" applyFill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7" xfId="0" applyBorder="1"/>
    <xf numFmtId="0" fontId="0" fillId="0" borderId="8" xfId="0" applyBorder="1"/>
    <xf numFmtId="0" fontId="5" fillId="2" borderId="9" xfId="0" applyFont="1" applyFill="1" applyBorder="1" applyAlignment="1">
      <alignment horizontal="center" wrapText="1"/>
    </xf>
    <xf numFmtId="9" fontId="0" fillId="0" borderId="10" xfId="0" applyNumberFormat="1" applyBorder="1" applyAlignment="1">
      <alignment horizontal="right"/>
    </xf>
    <xf numFmtId="9" fontId="0" fillId="0" borderId="0" xfId="0" applyNumberFormat="1" applyAlignment="1">
      <alignment horizontal="right"/>
    </xf>
    <xf numFmtId="9" fontId="0" fillId="0" borderId="11" xfId="0" applyNumberFormat="1" applyBorder="1" applyAlignment="1">
      <alignment horizontal="right"/>
    </xf>
    <xf numFmtId="0" fontId="5" fillId="2" borderId="1" xfId="0" applyFont="1" applyFill="1" applyBorder="1" applyAlignment="1">
      <alignment horizontal="center" wrapText="1"/>
    </xf>
    <xf numFmtId="1" fontId="0" fillId="0" borderId="12" xfId="0" applyNumberFormat="1" applyBorder="1"/>
    <xf numFmtId="1" fontId="0" fillId="0" borderId="13" xfId="0" applyNumberFormat="1" applyBorder="1"/>
    <xf numFmtId="1" fontId="0" fillId="0" borderId="14" xfId="0" applyNumberFormat="1" applyBorder="1"/>
    <xf numFmtId="0" fontId="5" fillId="2" borderId="5" xfId="0" applyFont="1" applyFill="1" applyBorder="1" applyAlignment="1">
      <alignment horizontal="center"/>
    </xf>
    <xf numFmtId="1" fontId="0" fillId="0" borderId="6" xfId="0" applyNumberFormat="1" applyBorder="1"/>
    <xf numFmtId="1" fontId="0" fillId="0" borderId="7" xfId="0" applyNumberFormat="1" applyBorder="1"/>
    <xf numFmtId="1" fontId="0" fillId="0" borderId="8" xfId="0" applyNumberFormat="1" applyBorder="1"/>
    <xf numFmtId="0" fontId="5" fillId="2" borderId="9" xfId="0" applyFont="1" applyFill="1" applyBorder="1" applyAlignment="1">
      <alignment horizontal="center"/>
    </xf>
    <xf numFmtId="1" fontId="0" fillId="0" borderId="10" xfId="0" applyNumberFormat="1" applyBorder="1"/>
    <xf numFmtId="1" fontId="0" fillId="0" borderId="0" xfId="0" applyNumberFormat="1"/>
    <xf numFmtId="1" fontId="0" fillId="0" borderId="11" xfId="0" applyNumberFormat="1" applyBorder="1"/>
    <xf numFmtId="0" fontId="5" fillId="0" borderId="5" xfId="0" applyFont="1" applyBorder="1"/>
    <xf numFmtId="0" fontId="0" fillId="0" borderId="1" xfId="0" applyBorder="1"/>
    <xf numFmtId="0" fontId="5" fillId="3" borderId="7" xfId="0" applyFont="1" applyFill="1" applyBorder="1"/>
    <xf numFmtId="0" fontId="5" fillId="3" borderId="13" xfId="0" applyFont="1" applyFill="1" applyBorder="1"/>
    <xf numFmtId="9" fontId="5" fillId="3" borderId="13" xfId="0" applyNumberFormat="1" applyFont="1" applyFill="1" applyBorder="1"/>
    <xf numFmtId="0" fontId="5" fillId="3" borderId="8" xfId="0" applyFont="1" applyFill="1" applyBorder="1"/>
    <xf numFmtId="9" fontId="5" fillId="3" borderId="14" xfId="0" applyNumberFormat="1" applyFont="1" applyFill="1" applyBorder="1"/>
    <xf numFmtId="0" fontId="0" fillId="0" borderId="13" xfId="0" applyBorder="1"/>
    <xf numFmtId="0" fontId="0" fillId="0" borderId="0" xfId="0" applyFill="1" applyBorder="1" applyAlignment="1">
      <alignment horizontal="right"/>
    </xf>
    <xf numFmtId="165" fontId="0" fillId="0" borderId="6" xfId="2" applyNumberFormat="1" applyFont="1" applyBorder="1"/>
    <xf numFmtId="165" fontId="0" fillId="0" borderId="7" xfId="2" applyNumberFormat="1" applyFont="1" applyBorder="1"/>
    <xf numFmtId="165" fontId="0" fillId="0" borderId="8" xfId="2" applyNumberFormat="1" applyFont="1" applyBorder="1"/>
    <xf numFmtId="165" fontId="0" fillId="0" borderId="10" xfId="2" applyNumberFormat="1" applyFont="1" applyBorder="1"/>
    <xf numFmtId="165" fontId="0" fillId="0" borderId="0" xfId="2" applyNumberFormat="1" applyFont="1"/>
    <xf numFmtId="165" fontId="0" fillId="0" borderId="11" xfId="2" applyNumberFormat="1" applyFont="1" applyBorder="1"/>
    <xf numFmtId="165" fontId="0" fillId="0" borderId="12" xfId="2" applyNumberFormat="1" applyFont="1" applyBorder="1"/>
    <xf numFmtId="165" fontId="0" fillId="0" borderId="13" xfId="2" applyNumberFormat="1" applyFont="1" applyBorder="1"/>
    <xf numFmtId="165" fontId="0" fillId="0" borderId="14" xfId="2" applyNumberFormat="1" applyFont="1" applyBorder="1"/>
    <xf numFmtId="3" fontId="3" fillId="0" borderId="0" xfId="0" applyNumberFormat="1" applyFont="1" applyAlignment="1">
      <alignment horizontal="left" vertical="top"/>
    </xf>
    <xf numFmtId="3" fontId="0" fillId="0" borderId="0" xfId="0" applyNumberFormat="1"/>
    <xf numFmtId="166" fontId="0" fillId="0" borderId="7" xfId="1" applyNumberFormat="1" applyFont="1" applyBorder="1"/>
    <xf numFmtId="166" fontId="0" fillId="0" borderId="13" xfId="1" applyNumberFormat="1" applyFont="1" applyBorder="1"/>
    <xf numFmtId="166" fontId="0" fillId="0" borderId="8" xfId="1" applyNumberFormat="1" applyFont="1" applyBorder="1"/>
    <xf numFmtId="166" fontId="0" fillId="0" borderId="14" xfId="1" applyNumberFormat="1" applyFont="1" applyBorder="1"/>
    <xf numFmtId="0" fontId="5" fillId="2" borderId="0" xfId="0" applyFont="1" applyFill="1" applyBorder="1" applyAlignment="1">
      <alignment horizontal="center" wrapText="1"/>
    </xf>
    <xf numFmtId="166" fontId="0" fillId="0" borderId="12" xfId="1" applyNumberFormat="1" applyFont="1" applyBorder="1"/>
    <xf numFmtId="166" fontId="0" fillId="0" borderId="6" xfId="1" applyNumberFormat="1" applyFont="1" applyBorder="1"/>
    <xf numFmtId="166" fontId="0" fillId="0" borderId="10" xfId="1" applyNumberFormat="1" applyFont="1" applyBorder="1"/>
    <xf numFmtId="166" fontId="0" fillId="0" borderId="0" xfId="1" applyNumberFormat="1" applyFont="1"/>
    <xf numFmtId="166" fontId="0" fillId="0" borderId="11" xfId="1" applyNumberFormat="1" applyFont="1" applyBorder="1"/>
    <xf numFmtId="166" fontId="0" fillId="0" borderId="0" xfId="0" applyNumberFormat="1"/>
    <xf numFmtId="0" fontId="2" fillId="0" borderId="0" xfId="0" applyFont="1"/>
    <xf numFmtId="0" fontId="5" fillId="8" borderId="5" xfId="0" applyFont="1" applyFill="1" applyBorder="1" applyAlignment="1">
      <alignment horizontal="center" wrapText="1"/>
    </xf>
    <xf numFmtId="0" fontId="5" fillId="8" borderId="9" xfId="0" applyFont="1" applyFill="1" applyBorder="1" applyAlignment="1">
      <alignment horizontal="center" wrapText="1"/>
    </xf>
    <xf numFmtId="0" fontId="5" fillId="8" borderId="1" xfId="0" applyFont="1" applyFill="1" applyBorder="1" applyAlignment="1">
      <alignment horizontal="center" wrapText="1"/>
    </xf>
    <xf numFmtId="0" fontId="5" fillId="4" borderId="5" xfId="0" applyFont="1" applyFill="1" applyBorder="1" applyAlignment="1">
      <alignment horizontal="center" wrapText="1"/>
    </xf>
    <xf numFmtId="0" fontId="5" fillId="4" borderId="9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0" fontId="5" fillId="5" borderId="5" xfId="0" applyFont="1" applyFill="1" applyBorder="1" applyAlignment="1">
      <alignment horizontal="center" wrapText="1"/>
    </xf>
    <xf numFmtId="0" fontId="5" fillId="5" borderId="9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wrapText="1"/>
    </xf>
    <xf numFmtId="0" fontId="5" fillId="6" borderId="5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 wrapText="1"/>
    </xf>
    <xf numFmtId="0" fontId="5" fillId="7" borderId="5" xfId="0" applyFont="1" applyFill="1" applyBorder="1" applyAlignment="1">
      <alignment horizontal="center" wrapText="1"/>
    </xf>
    <xf numFmtId="0" fontId="5" fillId="7" borderId="9" xfId="0" applyFont="1" applyFill="1" applyBorder="1" applyAlignment="1">
      <alignment horizontal="center" wrapText="1"/>
    </xf>
    <xf numFmtId="0" fontId="5" fillId="7" borderId="1" xfId="0" applyFont="1" applyFill="1" applyBorder="1" applyAlignment="1">
      <alignment horizontal="center" wrapText="1"/>
    </xf>
    <xf numFmtId="0" fontId="5" fillId="7" borderId="5" xfId="0" applyFont="1" applyFill="1" applyBorder="1" applyAlignment="1">
      <alignment horizontal="center"/>
    </xf>
    <xf numFmtId="0" fontId="5" fillId="7" borderId="9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F0205-1A7F-4FFA-B96E-CDBC1151BB53}">
  <dimension ref="A1:BD63"/>
  <sheetViews>
    <sheetView workbookViewId="0">
      <selection activeCell="M8" sqref="M8:N12"/>
    </sheetView>
  </sheetViews>
  <sheetFormatPr defaultRowHeight="15" x14ac:dyDescent="0.25"/>
  <cols>
    <col min="14" max="14" width="14.7109375" bestFit="1" customWidth="1"/>
    <col min="15" max="16" width="10.140625" bestFit="1" customWidth="1"/>
  </cols>
  <sheetData>
    <row r="1" spans="1:56" x14ac:dyDescent="0.25">
      <c r="Q1" t="s">
        <v>82</v>
      </c>
      <c r="AG1" t="s">
        <v>83</v>
      </c>
      <c r="AS1" t="s">
        <v>84</v>
      </c>
    </row>
    <row r="2" spans="1:56" ht="15.7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2" t="s">
        <v>7</v>
      </c>
      <c r="I2" s="1" t="s">
        <v>8</v>
      </c>
      <c r="J2" s="1" t="s">
        <v>9</v>
      </c>
      <c r="K2" s="1" t="s">
        <v>10</v>
      </c>
      <c r="L2" s="2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16</v>
      </c>
      <c r="AH2" s="1" t="s">
        <v>17</v>
      </c>
      <c r="AI2" s="1" t="s">
        <v>18</v>
      </c>
      <c r="AJ2" s="1" t="s">
        <v>19</v>
      </c>
      <c r="AK2" s="1" t="s">
        <v>20</v>
      </c>
      <c r="AL2" s="1" t="s">
        <v>21</v>
      </c>
      <c r="AM2" s="1" t="s">
        <v>22</v>
      </c>
      <c r="AN2" s="2" t="s">
        <v>32</v>
      </c>
      <c r="AO2" s="2" t="s">
        <v>33</v>
      </c>
      <c r="AP2" s="1" t="s">
        <v>34</v>
      </c>
      <c r="AQ2" s="1" t="s">
        <v>35</v>
      </c>
      <c r="AR2" s="1" t="s">
        <v>36</v>
      </c>
      <c r="AS2" s="1" t="s">
        <v>16</v>
      </c>
      <c r="AT2" s="1" t="s">
        <v>17</v>
      </c>
      <c r="AU2" s="1" t="s">
        <v>18</v>
      </c>
      <c r="AV2" s="1" t="s">
        <v>19</v>
      </c>
      <c r="AW2" s="1" t="s">
        <v>20</v>
      </c>
      <c r="AX2" s="1" t="s">
        <v>21</v>
      </c>
      <c r="AY2" s="1" t="s">
        <v>22</v>
      </c>
      <c r="AZ2" s="2" t="s">
        <v>32</v>
      </c>
      <c r="BA2" s="2" t="s">
        <v>33</v>
      </c>
      <c r="BB2" s="1" t="s">
        <v>34</v>
      </c>
      <c r="BC2" s="1" t="s">
        <v>35</v>
      </c>
      <c r="BD2" s="1" t="s">
        <v>36</v>
      </c>
    </row>
    <row r="3" spans="1:56" ht="15.75" x14ac:dyDescent="0.25">
      <c r="A3" s="1" t="s">
        <v>37</v>
      </c>
      <c r="B3" s="1" t="s">
        <v>38</v>
      </c>
      <c r="C3" s="1" t="s">
        <v>39</v>
      </c>
      <c r="D3" s="1">
        <v>17.524899999999999</v>
      </c>
      <c r="E3" s="1" t="s">
        <v>40</v>
      </c>
      <c r="F3" s="2">
        <v>78</v>
      </c>
      <c r="G3" s="2">
        <v>55</v>
      </c>
      <c r="H3" s="2">
        <v>53</v>
      </c>
      <c r="I3" s="2">
        <v>84</v>
      </c>
      <c r="J3" s="3">
        <v>79046</v>
      </c>
      <c r="K3" s="4">
        <v>0.25459999999999999</v>
      </c>
      <c r="L3" s="4">
        <v>0.20880000000000001</v>
      </c>
      <c r="M3" s="5">
        <v>0.24795551193981027</v>
      </c>
      <c r="N3" s="6">
        <v>37280</v>
      </c>
      <c r="O3" s="1" t="s">
        <v>41</v>
      </c>
      <c r="P3" s="1">
        <v>1560788</v>
      </c>
      <c r="Q3" s="1">
        <v>4895</v>
      </c>
      <c r="R3" s="7">
        <v>55</v>
      </c>
      <c r="S3" s="7">
        <v>55</v>
      </c>
      <c r="T3" s="8">
        <v>0.2048611111111111</v>
      </c>
      <c r="U3" s="1"/>
      <c r="V3" s="8">
        <v>0.23958333333333334</v>
      </c>
      <c r="W3" s="1"/>
      <c r="X3" s="9">
        <v>17.1391147244805</v>
      </c>
      <c r="Y3" s="9">
        <v>22.581275720164601</v>
      </c>
      <c r="Z3" s="9">
        <v>15.837414299706101</v>
      </c>
      <c r="AA3" s="9">
        <v>23.4634831460674</v>
      </c>
      <c r="AB3" s="7">
        <v>11</v>
      </c>
      <c r="AC3" s="9">
        <v>71.454545499999995</v>
      </c>
      <c r="AD3" s="9">
        <v>62.2727273</v>
      </c>
      <c r="AE3" s="9">
        <v>64.391304300000002</v>
      </c>
      <c r="AF3" s="9">
        <v>54.903225800000001</v>
      </c>
      <c r="AG3" s="1">
        <v>3210</v>
      </c>
      <c r="AH3" s="7">
        <v>44</v>
      </c>
      <c r="AI3" s="7">
        <v>44</v>
      </c>
      <c r="AJ3" s="8">
        <v>0.22361111111111112</v>
      </c>
      <c r="AK3" s="1"/>
      <c r="AL3" s="8">
        <v>0.26041666666666669</v>
      </c>
      <c r="AM3" s="1"/>
      <c r="AN3" s="9">
        <v>25.033667600000001</v>
      </c>
      <c r="AO3" s="9">
        <v>24.606750399999999</v>
      </c>
      <c r="AP3" s="7">
        <v>7</v>
      </c>
      <c r="AQ3" s="9">
        <v>64</v>
      </c>
      <c r="AR3" s="9">
        <v>54.8125</v>
      </c>
      <c r="AS3" s="1">
        <v>2381</v>
      </c>
      <c r="AT3" s="7">
        <v>32</v>
      </c>
      <c r="AU3" s="7">
        <v>32</v>
      </c>
      <c r="AV3" s="8">
        <v>0.21458333333333332</v>
      </c>
      <c r="AW3" s="1"/>
      <c r="AX3" s="8">
        <v>0.25</v>
      </c>
      <c r="AY3" s="1"/>
      <c r="AZ3" s="9">
        <v>36.031496099999998</v>
      </c>
      <c r="BA3" s="9">
        <v>37.302774399999997</v>
      </c>
      <c r="BB3" s="7">
        <v>6</v>
      </c>
      <c r="BC3" s="9">
        <v>57.454545500000002</v>
      </c>
      <c r="BD3" s="9">
        <v>54.7272727</v>
      </c>
    </row>
    <row r="4" spans="1:56" ht="15.75" x14ac:dyDescent="0.25">
      <c r="A4" s="1" t="s">
        <v>42</v>
      </c>
      <c r="B4" s="1" t="s">
        <v>43</v>
      </c>
      <c r="C4" s="1" t="s">
        <v>39</v>
      </c>
      <c r="D4" s="1">
        <v>14.252700000000001</v>
      </c>
      <c r="E4" s="1" t="s">
        <v>40</v>
      </c>
      <c r="F4" s="2">
        <v>49</v>
      </c>
      <c r="G4" s="2">
        <v>38</v>
      </c>
      <c r="H4" s="2">
        <v>48</v>
      </c>
      <c r="I4" s="2">
        <v>79</v>
      </c>
      <c r="J4" s="3">
        <v>71049</v>
      </c>
      <c r="K4" s="4">
        <v>0.24179999999999999</v>
      </c>
      <c r="L4" s="4">
        <v>0.19919999999999999</v>
      </c>
      <c r="M4" s="5">
        <v>0.23822242006083538</v>
      </c>
      <c r="N4" s="6">
        <v>38560</v>
      </c>
      <c r="O4" s="1" t="s">
        <v>41</v>
      </c>
      <c r="P4" s="1">
        <v>1380803</v>
      </c>
      <c r="Q4" s="1">
        <v>4394</v>
      </c>
      <c r="R4" s="7">
        <v>57</v>
      </c>
      <c r="S4" s="7">
        <v>57</v>
      </c>
      <c r="T4" s="8">
        <v>0.19652777777777777</v>
      </c>
      <c r="U4" s="1"/>
      <c r="V4" s="8">
        <v>0.22361111111111112</v>
      </c>
      <c r="W4" s="1"/>
      <c r="X4" s="9">
        <v>16.572145545796701</v>
      </c>
      <c r="Y4" s="9">
        <v>23.375231910946098</v>
      </c>
      <c r="Z4" s="9">
        <v>17.190150478796099</v>
      </c>
      <c r="AA4" s="9">
        <v>24.4262838210933</v>
      </c>
      <c r="AB4" s="7">
        <v>9</v>
      </c>
      <c r="AC4" s="9">
        <v>58.318181799999998</v>
      </c>
      <c r="AD4" s="9">
        <v>52</v>
      </c>
      <c r="AE4" s="9">
        <v>51.4583333</v>
      </c>
      <c r="AF4" s="9">
        <v>45.133333299999997</v>
      </c>
      <c r="AG4" s="1">
        <v>2708</v>
      </c>
      <c r="AH4" s="7">
        <v>49</v>
      </c>
      <c r="AI4" s="7">
        <v>49</v>
      </c>
      <c r="AJ4" s="8">
        <v>0.19444444444444445</v>
      </c>
      <c r="AK4" s="1"/>
      <c r="AL4" s="8">
        <v>0.22361111111111112</v>
      </c>
      <c r="AM4" s="1"/>
      <c r="AN4" s="9">
        <v>25.486685000000001</v>
      </c>
      <c r="AO4" s="9">
        <v>24.331054699999999</v>
      </c>
      <c r="AP4" s="7">
        <v>6</v>
      </c>
      <c r="AQ4" s="9">
        <v>52.882352900000001</v>
      </c>
      <c r="AR4" s="9">
        <v>45.235294099999997</v>
      </c>
      <c r="AS4" s="1">
        <v>1935</v>
      </c>
      <c r="AT4" s="7">
        <v>33</v>
      </c>
      <c r="AU4" s="7">
        <v>33</v>
      </c>
      <c r="AV4" s="8">
        <v>0.20208333333333334</v>
      </c>
      <c r="AW4" s="1"/>
      <c r="AX4" s="8">
        <v>0.22916666666666666</v>
      </c>
      <c r="AY4" s="1"/>
      <c r="AZ4" s="9">
        <v>36.108483999999997</v>
      </c>
      <c r="BA4" s="9">
        <v>36.083606600000003</v>
      </c>
      <c r="BB4" s="7">
        <v>4</v>
      </c>
      <c r="BC4" s="9">
        <v>47.8333333</v>
      </c>
      <c r="BD4" s="9">
        <v>43.181818200000002</v>
      </c>
    </row>
    <row r="5" spans="1:56" ht="15.75" x14ac:dyDescent="0.25">
      <c r="A5" s="1" t="s">
        <v>44</v>
      </c>
      <c r="B5" s="1" t="s">
        <v>45</v>
      </c>
      <c r="C5" s="1" t="s">
        <v>46</v>
      </c>
      <c r="D5" s="1">
        <v>30.233799999999999</v>
      </c>
      <c r="E5" s="1" t="s">
        <v>40</v>
      </c>
      <c r="F5" s="2">
        <v>35</v>
      </c>
      <c r="G5" s="2">
        <v>29</v>
      </c>
      <c r="H5" s="2">
        <v>90</v>
      </c>
      <c r="I5" s="2">
        <v>105</v>
      </c>
      <c r="J5" s="3">
        <v>74631</v>
      </c>
      <c r="K5" s="4">
        <v>0.27210000000000001</v>
      </c>
      <c r="L5" s="4">
        <v>0.1976</v>
      </c>
      <c r="M5" s="5">
        <v>0.24391870546526728</v>
      </c>
      <c r="N5" s="6">
        <v>36634</v>
      </c>
      <c r="O5" s="1" t="s">
        <v>41</v>
      </c>
      <c r="P5" s="1">
        <v>2051738</v>
      </c>
      <c r="Q5" s="1">
        <v>6314</v>
      </c>
      <c r="R5" s="7">
        <v>57</v>
      </c>
      <c r="S5" s="7">
        <v>57</v>
      </c>
      <c r="T5" s="8">
        <v>0.17708333333333334</v>
      </c>
      <c r="U5" s="1"/>
      <c r="V5" s="8">
        <v>0.21319444444444444</v>
      </c>
      <c r="W5" s="1"/>
      <c r="X5" s="9">
        <v>16.366279069767401</v>
      </c>
      <c r="Y5" s="9">
        <v>22.3573667711598</v>
      </c>
      <c r="Z5" s="9">
        <v>14.992239467849201</v>
      </c>
      <c r="AA5" s="9">
        <v>23.850554323725</v>
      </c>
      <c r="AB5" s="7">
        <v>11</v>
      </c>
      <c r="AC5" s="9">
        <v>75.782608699999997</v>
      </c>
      <c r="AD5" s="9">
        <v>67.909090899999995</v>
      </c>
      <c r="AE5" s="9">
        <v>65.583333300000007</v>
      </c>
      <c r="AF5" s="9">
        <v>57.225806499999997</v>
      </c>
      <c r="AG5" s="1">
        <v>4562</v>
      </c>
      <c r="AH5" s="7">
        <v>47</v>
      </c>
      <c r="AI5" s="7">
        <v>47</v>
      </c>
      <c r="AJ5" s="8">
        <v>0.17430555555555555</v>
      </c>
      <c r="AK5" s="1"/>
      <c r="AL5" s="8">
        <v>0.21319444444444444</v>
      </c>
      <c r="AM5" s="1"/>
      <c r="AN5" s="9">
        <v>24.5651163</v>
      </c>
      <c r="AO5" s="9">
        <v>24.107317099999999</v>
      </c>
      <c r="AP5" s="7">
        <v>7</v>
      </c>
      <c r="AQ5" s="9">
        <v>66.705882399999993</v>
      </c>
      <c r="AR5" s="9">
        <v>57.941176499999997</v>
      </c>
      <c r="AS5" s="1">
        <v>3374</v>
      </c>
      <c r="AT5" s="7">
        <v>33</v>
      </c>
      <c r="AU5" s="7">
        <v>33</v>
      </c>
      <c r="AV5" s="8">
        <v>0.20277777777777778</v>
      </c>
      <c r="AW5" s="1"/>
      <c r="AX5" s="8">
        <v>0.23958333333333334</v>
      </c>
      <c r="AY5" s="1"/>
      <c r="AZ5" s="9">
        <v>33.85</v>
      </c>
      <c r="BA5" s="9">
        <v>35.662195099999998</v>
      </c>
      <c r="BB5" s="7">
        <v>5</v>
      </c>
      <c r="BC5" s="9">
        <v>61.8333333</v>
      </c>
      <c r="BD5" s="9">
        <v>55.6666667</v>
      </c>
    </row>
    <row r="6" spans="1:56" ht="15.75" x14ac:dyDescent="0.25">
      <c r="A6" s="1" t="s">
        <v>47</v>
      </c>
      <c r="B6" s="1" t="s">
        <v>48</v>
      </c>
      <c r="C6" s="1" t="s">
        <v>46</v>
      </c>
      <c r="D6" s="1">
        <v>19.362100000000002</v>
      </c>
      <c r="E6" s="1" t="s">
        <v>40</v>
      </c>
      <c r="F6" s="2">
        <v>27</v>
      </c>
      <c r="G6" s="2">
        <v>20</v>
      </c>
      <c r="H6" s="2">
        <v>56</v>
      </c>
      <c r="I6" s="2">
        <v>81</v>
      </c>
      <c r="J6" s="3">
        <v>62943</v>
      </c>
      <c r="K6" s="4">
        <v>0.23400000000000001</v>
      </c>
      <c r="L6" s="4">
        <v>0.1903</v>
      </c>
      <c r="M6" s="5">
        <v>0.21411056141105614</v>
      </c>
      <c r="N6" s="6">
        <v>40803</v>
      </c>
      <c r="O6" s="1" t="s">
        <v>41</v>
      </c>
      <c r="P6" s="1">
        <v>1693101</v>
      </c>
      <c r="Q6" s="1">
        <v>5451</v>
      </c>
      <c r="R6" s="7">
        <v>65</v>
      </c>
      <c r="S6" s="7">
        <v>70</v>
      </c>
      <c r="T6" s="8">
        <v>0.21666666666666667</v>
      </c>
      <c r="U6" s="1"/>
      <c r="V6" s="8">
        <v>0.24444444444444444</v>
      </c>
      <c r="W6" s="1"/>
      <c r="X6" s="9">
        <v>10.799603174603099</v>
      </c>
      <c r="Y6" s="9">
        <v>20.221016280217</v>
      </c>
      <c r="Z6" s="9">
        <v>10.5876543209876</v>
      </c>
      <c r="AA6" s="9">
        <v>21.738693467336599</v>
      </c>
      <c r="AB6" s="7">
        <v>12</v>
      </c>
      <c r="AC6" s="9">
        <v>61.037036999999998</v>
      </c>
      <c r="AD6" s="9">
        <v>53.472222199999997</v>
      </c>
      <c r="AE6" s="9">
        <v>43.0625</v>
      </c>
      <c r="AF6" s="9">
        <v>41</v>
      </c>
      <c r="AG6" s="1">
        <v>3264</v>
      </c>
      <c r="AH6" s="7">
        <v>46</v>
      </c>
      <c r="AI6" s="7">
        <v>46</v>
      </c>
      <c r="AJ6" s="8">
        <v>0.27638888888888891</v>
      </c>
      <c r="AK6" s="1"/>
      <c r="AL6" s="8">
        <v>0.30694444444444446</v>
      </c>
      <c r="AM6" s="1"/>
      <c r="AN6" s="9">
        <v>24.3185185</v>
      </c>
      <c r="AO6" s="9">
        <v>23.1096866</v>
      </c>
      <c r="AP6" s="7">
        <v>6</v>
      </c>
      <c r="AQ6" s="9">
        <v>53.176470600000002</v>
      </c>
      <c r="AR6" s="9">
        <v>42.866666700000003</v>
      </c>
      <c r="AS6" s="1">
        <v>2164</v>
      </c>
      <c r="AT6" s="7">
        <v>29</v>
      </c>
      <c r="AU6" s="7">
        <v>29</v>
      </c>
      <c r="AV6" s="8">
        <v>0.28472222222222221</v>
      </c>
      <c r="AW6" s="1"/>
      <c r="AX6" s="8">
        <v>0.31458333333333333</v>
      </c>
      <c r="AY6" s="1"/>
      <c r="AZ6" s="9">
        <v>34.782539700000001</v>
      </c>
      <c r="BA6" s="9">
        <v>34.042327999999998</v>
      </c>
      <c r="BB6" s="7">
        <v>4</v>
      </c>
      <c r="BC6" s="9">
        <v>49.4166667</v>
      </c>
      <c r="BD6" s="9">
        <v>42.222222199999997</v>
      </c>
    </row>
    <row r="8" spans="1:56" ht="15.75" x14ac:dyDescent="0.25">
      <c r="A8" s="1" t="s">
        <v>0</v>
      </c>
      <c r="B8" s="2" t="s">
        <v>23</v>
      </c>
      <c r="C8" s="2" t="s">
        <v>24</v>
      </c>
      <c r="D8" s="2" t="s">
        <v>25</v>
      </c>
      <c r="E8" s="2" t="s">
        <v>26</v>
      </c>
      <c r="F8" s="1" t="s">
        <v>15</v>
      </c>
      <c r="G8" s="1" t="s">
        <v>77</v>
      </c>
      <c r="H8" s="2" t="s">
        <v>80</v>
      </c>
      <c r="I8" s="2" t="s">
        <v>81</v>
      </c>
      <c r="J8" s="2" t="s">
        <v>79</v>
      </c>
      <c r="K8" s="2" t="s">
        <v>78</v>
      </c>
      <c r="L8" s="2" t="s">
        <v>85</v>
      </c>
      <c r="M8" s="4" t="s">
        <v>86</v>
      </c>
      <c r="N8" s="1" t="s">
        <v>87</v>
      </c>
      <c r="O8" s="1"/>
      <c r="R8" s="7"/>
      <c r="S8" s="7"/>
      <c r="T8" s="8"/>
      <c r="U8" s="1"/>
      <c r="V8" s="8"/>
      <c r="W8" s="1"/>
      <c r="X8" s="9"/>
      <c r="Y8" s="9"/>
      <c r="Z8" s="9"/>
      <c r="AA8" s="9"/>
      <c r="AB8" s="7"/>
      <c r="AC8" s="9"/>
      <c r="AD8" s="9"/>
      <c r="AE8" s="9"/>
      <c r="AF8" s="9"/>
      <c r="AG8" s="1"/>
      <c r="AH8" s="7"/>
      <c r="AI8" s="7"/>
      <c r="AJ8" s="8"/>
      <c r="AK8" s="1"/>
      <c r="AL8" s="8"/>
      <c r="AM8" s="1"/>
      <c r="AN8" s="9"/>
      <c r="AO8" s="9"/>
      <c r="AP8" s="7"/>
      <c r="AQ8" s="9"/>
      <c r="AR8" s="9"/>
      <c r="AS8" s="1"/>
      <c r="AT8" s="7"/>
      <c r="AU8" s="7"/>
      <c r="AV8" s="8"/>
      <c r="AW8" s="1"/>
      <c r="AX8" s="8"/>
      <c r="AY8" s="1"/>
      <c r="AZ8" s="9"/>
      <c r="BA8" s="9"/>
      <c r="BB8" s="7"/>
      <c r="BC8" s="9"/>
      <c r="BD8" s="9"/>
    </row>
    <row r="9" spans="1:56" ht="15.75" x14ac:dyDescent="0.25">
      <c r="A9" s="1" t="s">
        <v>37</v>
      </c>
      <c r="B9" s="9">
        <v>17.1391147244805</v>
      </c>
      <c r="C9" s="9">
        <v>22.581275720164601</v>
      </c>
      <c r="D9" s="9">
        <v>15.837414299706101</v>
      </c>
      <c r="E9" s="9">
        <v>23.4634831460674</v>
      </c>
      <c r="F9" s="1">
        <v>1560788</v>
      </c>
      <c r="G9" s="1">
        <v>4895</v>
      </c>
      <c r="H9" s="1">
        <v>3210</v>
      </c>
      <c r="I9" s="1">
        <v>2381</v>
      </c>
      <c r="J9" s="2">
        <v>39</v>
      </c>
      <c r="K9" s="2">
        <f>SUM(R3:S3)</f>
        <v>110</v>
      </c>
      <c r="L9" s="3">
        <f>J9/K9*G9</f>
        <v>1735.5</v>
      </c>
      <c r="M9" s="3">
        <f>L9*52*5</f>
        <v>451230</v>
      </c>
      <c r="N9" s="53">
        <f>F9-M9</f>
        <v>1109558</v>
      </c>
      <c r="O9" s="53"/>
      <c r="Q9" s="54"/>
      <c r="R9" s="7"/>
      <c r="S9" s="7"/>
      <c r="T9" s="8"/>
      <c r="U9" s="1"/>
      <c r="V9" s="8"/>
      <c r="W9" s="1"/>
      <c r="X9" s="9"/>
      <c r="Y9" s="9"/>
      <c r="Z9" s="9"/>
      <c r="AA9" s="9"/>
      <c r="AB9" s="7"/>
      <c r="AC9" s="9"/>
      <c r="AD9" s="9"/>
      <c r="AE9" s="9"/>
      <c r="AF9" s="9"/>
      <c r="AG9" s="1"/>
      <c r="AH9" s="7"/>
      <c r="AI9" s="7"/>
      <c r="AJ9" s="8"/>
      <c r="AK9" s="1"/>
      <c r="AL9" s="8"/>
      <c r="AM9" s="1"/>
      <c r="AN9" s="9"/>
      <c r="AO9" s="9"/>
      <c r="AP9" s="7"/>
      <c r="AQ9" s="9"/>
      <c r="AR9" s="9"/>
      <c r="AS9" s="1"/>
      <c r="AT9" s="7"/>
      <c r="AU9" s="7"/>
      <c r="AV9" s="8"/>
      <c r="AW9" s="1"/>
      <c r="AX9" s="8"/>
      <c r="AY9" s="1"/>
      <c r="AZ9" s="9"/>
      <c r="BA9" s="9"/>
      <c r="BB9" s="7"/>
      <c r="BC9" s="9"/>
      <c r="BD9" s="9"/>
    </row>
    <row r="10" spans="1:56" ht="15.75" x14ac:dyDescent="0.25">
      <c r="A10" s="1" t="s">
        <v>42</v>
      </c>
      <c r="B10" s="9">
        <v>16.572145545796701</v>
      </c>
      <c r="C10" s="9">
        <v>23.375231910946098</v>
      </c>
      <c r="D10" s="9">
        <v>17.190150478796099</v>
      </c>
      <c r="E10" s="9">
        <v>24.4262838210933</v>
      </c>
      <c r="F10" s="1">
        <v>1380803</v>
      </c>
      <c r="G10" s="1">
        <v>4394</v>
      </c>
      <c r="H10" s="1">
        <v>2708</v>
      </c>
      <c r="I10" s="1">
        <v>1935</v>
      </c>
      <c r="J10" s="2">
        <v>39</v>
      </c>
      <c r="K10" s="2">
        <f>SUM(R4:S4)</f>
        <v>114</v>
      </c>
      <c r="L10" s="3">
        <f>J10/K10*G10</f>
        <v>1503.2105263157896</v>
      </c>
      <c r="M10" s="3">
        <f>L10*52*5</f>
        <v>390834.73684210528</v>
      </c>
      <c r="N10" s="53">
        <f>F10-M10</f>
        <v>989968.26315789472</v>
      </c>
      <c r="O10" s="1"/>
      <c r="Q10" s="1"/>
      <c r="R10" s="7"/>
      <c r="S10" s="7"/>
      <c r="T10" s="8"/>
      <c r="U10" s="1"/>
      <c r="V10" s="8"/>
      <c r="W10" s="1"/>
      <c r="X10" s="9"/>
      <c r="Y10" s="9"/>
      <c r="Z10" s="9"/>
      <c r="AA10" s="9"/>
      <c r="AB10" s="7"/>
      <c r="AC10" s="9"/>
      <c r="AD10" s="9"/>
      <c r="AE10" s="9"/>
      <c r="AF10" s="9"/>
      <c r="AG10" s="1"/>
      <c r="AH10" s="7"/>
      <c r="AI10" s="7"/>
      <c r="AJ10" s="8"/>
      <c r="AK10" s="1"/>
      <c r="AL10" s="8"/>
      <c r="AM10" s="1"/>
      <c r="AN10" s="9"/>
      <c r="AO10" s="9"/>
      <c r="AP10" s="7"/>
      <c r="AQ10" s="9"/>
      <c r="AR10" s="9"/>
      <c r="AS10" s="1"/>
      <c r="AT10" s="7"/>
      <c r="AU10" s="7"/>
      <c r="AV10" s="8"/>
      <c r="AW10" s="1"/>
      <c r="AX10" s="8"/>
      <c r="AY10" s="1"/>
      <c r="AZ10" s="9"/>
      <c r="BA10" s="9"/>
      <c r="BB10" s="7"/>
      <c r="BC10" s="9"/>
      <c r="BD10" s="9"/>
    </row>
    <row r="11" spans="1:56" ht="15.75" x14ac:dyDescent="0.25">
      <c r="A11" s="1" t="s">
        <v>44</v>
      </c>
      <c r="B11" s="9">
        <v>16.366279069767401</v>
      </c>
      <c r="C11" s="9">
        <v>22.3573667711598</v>
      </c>
      <c r="D11" s="9">
        <v>14.992239467849201</v>
      </c>
      <c r="E11" s="9">
        <v>23.850554323725</v>
      </c>
      <c r="F11" s="1">
        <v>2051738</v>
      </c>
      <c r="G11" s="1">
        <v>6314</v>
      </c>
      <c r="H11" s="1">
        <v>4562</v>
      </c>
      <c r="I11" s="1">
        <v>3374</v>
      </c>
      <c r="J11" s="2">
        <v>39</v>
      </c>
      <c r="K11" s="2">
        <f>SUM(R5:S5)</f>
        <v>114</v>
      </c>
      <c r="L11" s="3">
        <f>J11/K11*G11</f>
        <v>2160.0526315789475</v>
      </c>
      <c r="M11" s="3">
        <f>L11*52*5</f>
        <v>561613.68421052629</v>
      </c>
      <c r="N11" s="53">
        <f>F11-M11</f>
        <v>1490124.3157894737</v>
      </c>
      <c r="O11" s="1"/>
      <c r="Q11" s="1"/>
      <c r="R11" s="7"/>
      <c r="S11" s="7"/>
      <c r="T11" s="8"/>
      <c r="U11" s="1"/>
      <c r="V11" s="8"/>
      <c r="W11" s="1"/>
      <c r="X11" s="9"/>
      <c r="Y11" s="9"/>
      <c r="Z11" s="9"/>
      <c r="AA11" s="9"/>
      <c r="AB11" s="7"/>
      <c r="AC11" s="9"/>
      <c r="AD11" s="9"/>
      <c r="AE11" s="9"/>
      <c r="AF11" s="9"/>
      <c r="AG11" s="1"/>
      <c r="AH11" s="7"/>
      <c r="AI11" s="7"/>
      <c r="AJ11" s="8"/>
      <c r="AK11" s="1"/>
      <c r="AL11" s="8"/>
      <c r="AM11" s="1"/>
      <c r="AN11" s="9"/>
      <c r="AO11" s="9"/>
      <c r="AP11" s="7"/>
      <c r="AQ11" s="9"/>
      <c r="AR11" s="9"/>
      <c r="AS11" s="1"/>
      <c r="AT11" s="7"/>
      <c r="AU11" s="7"/>
      <c r="AV11" s="8"/>
      <c r="AW11" s="1"/>
      <c r="AX11" s="8"/>
      <c r="AY11" s="1"/>
      <c r="AZ11" s="9"/>
      <c r="BA11" s="9"/>
      <c r="BB11" s="7"/>
      <c r="BC11" s="9"/>
      <c r="BD11" s="9"/>
    </row>
    <row r="12" spans="1:56" ht="15.75" x14ac:dyDescent="0.25">
      <c r="A12" s="1" t="s">
        <v>47</v>
      </c>
      <c r="B12" s="9">
        <v>10.799603174603099</v>
      </c>
      <c r="C12" s="9">
        <v>20.221016280217</v>
      </c>
      <c r="D12" s="9">
        <v>10.5876543209876</v>
      </c>
      <c r="E12" s="9">
        <v>21.738693467336599</v>
      </c>
      <c r="F12" s="1">
        <v>1693101</v>
      </c>
      <c r="G12" s="1">
        <v>5451</v>
      </c>
      <c r="H12" s="1">
        <v>3264</v>
      </c>
      <c r="I12" s="1">
        <v>2164</v>
      </c>
      <c r="J12" s="2">
        <v>56</v>
      </c>
      <c r="K12" s="2">
        <f>SUM(R6:S6)</f>
        <v>135</v>
      </c>
      <c r="L12" s="3">
        <f>J12/K12*G12</f>
        <v>2261.1555555555556</v>
      </c>
      <c r="M12" s="3">
        <f>L12*52*5</f>
        <v>587900.4444444445</v>
      </c>
      <c r="N12" s="53">
        <f>F12-M12</f>
        <v>1105200.5555555555</v>
      </c>
    </row>
    <row r="13" spans="1:56" ht="15.75" x14ac:dyDescent="0.25">
      <c r="A13" s="1"/>
      <c r="B13" s="2"/>
      <c r="C13" s="2"/>
      <c r="D13" s="2"/>
      <c r="E13" s="2"/>
      <c r="L13" s="3"/>
    </row>
    <row r="14" spans="1:56" ht="15.75" x14ac:dyDescent="0.25">
      <c r="A14" s="1"/>
      <c r="B14" s="2"/>
      <c r="C14" s="2"/>
      <c r="D14" s="2"/>
      <c r="E14" s="2"/>
    </row>
    <row r="15" spans="1:56" ht="15.75" x14ac:dyDescent="0.25">
      <c r="A15" s="2"/>
      <c r="B15" s="2"/>
      <c r="C15" s="2"/>
      <c r="D15" s="2"/>
      <c r="E15" s="2"/>
      <c r="J15" s="3"/>
    </row>
    <row r="16" spans="1:56" ht="15.75" x14ac:dyDescent="0.25">
      <c r="A16" s="1"/>
      <c r="B16" s="2"/>
      <c r="C16" s="2"/>
      <c r="D16" s="2"/>
      <c r="E16" s="2"/>
    </row>
    <row r="17" spans="1:5" ht="15.75" x14ac:dyDescent="0.25">
      <c r="A17" s="1"/>
      <c r="B17" s="3"/>
      <c r="C17" s="3"/>
      <c r="D17" s="3"/>
      <c r="E17" s="3"/>
    </row>
    <row r="18" spans="1:5" ht="15.75" x14ac:dyDescent="0.25">
      <c r="A18" s="1"/>
      <c r="B18" s="4"/>
      <c r="C18" s="4"/>
      <c r="D18" s="4"/>
      <c r="E18" s="4"/>
    </row>
    <row r="19" spans="1:5" ht="15.75" x14ac:dyDescent="0.25">
      <c r="A19" s="2"/>
      <c r="B19" s="4"/>
      <c r="C19" s="4"/>
      <c r="D19" s="4"/>
      <c r="E19" s="4"/>
    </row>
    <row r="20" spans="1:5" ht="15.75" x14ac:dyDescent="0.25">
      <c r="A20" s="1"/>
      <c r="B20" s="5"/>
      <c r="C20" s="5"/>
      <c r="D20" s="5"/>
      <c r="E20" s="5"/>
    </row>
    <row r="21" spans="1:5" ht="15.75" x14ac:dyDescent="0.25">
      <c r="A21" s="1"/>
      <c r="B21" s="6"/>
      <c r="C21" s="6"/>
      <c r="D21" s="6"/>
      <c r="E21" s="6"/>
    </row>
    <row r="22" spans="1:5" ht="15.75" x14ac:dyDescent="0.25">
      <c r="A22" s="1"/>
      <c r="B22" s="1"/>
      <c r="C22" s="1"/>
      <c r="D22" s="1"/>
      <c r="E22" s="1"/>
    </row>
    <row r="23" spans="1:5" ht="15.75" x14ac:dyDescent="0.25">
      <c r="A23" s="1"/>
      <c r="B23" s="1"/>
      <c r="C23" s="1"/>
      <c r="D23" s="1"/>
      <c r="E23" s="1"/>
    </row>
    <row r="24" spans="1:5" ht="15.75" x14ac:dyDescent="0.25">
      <c r="A24" s="1"/>
      <c r="B24" s="1"/>
      <c r="C24" s="1"/>
      <c r="D24" s="1"/>
      <c r="E24" s="1"/>
    </row>
    <row r="25" spans="1:5" ht="15.75" x14ac:dyDescent="0.25">
      <c r="A25" s="1"/>
      <c r="B25" s="7"/>
      <c r="C25" s="7"/>
      <c r="D25" s="7"/>
      <c r="E25" s="7"/>
    </row>
    <row r="26" spans="1:5" ht="15.75" x14ac:dyDescent="0.25">
      <c r="A26" s="1"/>
      <c r="B26" s="7"/>
      <c r="C26" s="7"/>
      <c r="D26" s="7"/>
      <c r="E26" s="7"/>
    </row>
    <row r="27" spans="1:5" ht="15.75" x14ac:dyDescent="0.25">
      <c r="A27" s="1"/>
      <c r="B27" s="8"/>
      <c r="C27" s="8"/>
      <c r="D27" s="8"/>
      <c r="E27" s="8"/>
    </row>
    <row r="28" spans="1:5" ht="15.75" x14ac:dyDescent="0.25">
      <c r="A28" s="1"/>
      <c r="B28" s="1"/>
      <c r="C28" s="1"/>
      <c r="D28" s="1"/>
      <c r="E28" s="1"/>
    </row>
    <row r="29" spans="1:5" ht="15.75" x14ac:dyDescent="0.25">
      <c r="A29" s="1"/>
      <c r="B29" s="8"/>
      <c r="C29" s="8"/>
      <c r="D29" s="8"/>
      <c r="E29" s="8"/>
    </row>
    <row r="30" spans="1:5" ht="15.75" x14ac:dyDescent="0.25">
      <c r="A30" s="1"/>
      <c r="B30" s="1"/>
      <c r="C30" s="1"/>
      <c r="D30" s="1"/>
      <c r="E30" s="1"/>
    </row>
    <row r="31" spans="1:5" ht="15.75" x14ac:dyDescent="0.25">
      <c r="A31" s="2"/>
      <c r="B31" s="9"/>
      <c r="C31" s="9"/>
      <c r="D31" s="9"/>
      <c r="E31" s="9"/>
    </row>
    <row r="32" spans="1:5" ht="15.75" x14ac:dyDescent="0.25">
      <c r="A32" s="2"/>
      <c r="B32" s="9"/>
      <c r="C32" s="9"/>
      <c r="D32" s="9"/>
      <c r="E32" s="9"/>
    </row>
    <row r="33" spans="1:5" ht="15.75" x14ac:dyDescent="0.25">
      <c r="A33" s="2"/>
      <c r="B33" s="9"/>
      <c r="C33" s="9"/>
      <c r="D33" s="9"/>
      <c r="E33" s="9"/>
    </row>
    <row r="34" spans="1:5" ht="15.75" x14ac:dyDescent="0.25">
      <c r="A34" s="2"/>
      <c r="B34" s="9"/>
      <c r="C34" s="9"/>
      <c r="D34" s="9"/>
      <c r="E34" s="9"/>
    </row>
    <row r="35" spans="1:5" ht="15.75" x14ac:dyDescent="0.25">
      <c r="A35" s="1"/>
      <c r="B35" s="7"/>
      <c r="C35" s="7"/>
      <c r="D35" s="7"/>
      <c r="E35" s="7"/>
    </row>
    <row r="36" spans="1:5" ht="15.75" x14ac:dyDescent="0.25">
      <c r="A36" s="1"/>
      <c r="B36" s="9"/>
      <c r="C36" s="9"/>
      <c r="D36" s="9"/>
      <c r="E36" s="9"/>
    </row>
    <row r="37" spans="1:5" ht="15.75" x14ac:dyDescent="0.25">
      <c r="A37" s="1"/>
      <c r="B37" s="9"/>
      <c r="C37" s="9"/>
      <c r="D37" s="9"/>
      <c r="E37" s="9"/>
    </row>
    <row r="38" spans="1:5" ht="15.75" x14ac:dyDescent="0.25">
      <c r="A38" s="1"/>
      <c r="B38" s="9"/>
      <c r="C38" s="9"/>
      <c r="D38" s="9"/>
      <c r="E38" s="9"/>
    </row>
    <row r="39" spans="1:5" ht="15.75" x14ac:dyDescent="0.25">
      <c r="A39" s="1"/>
      <c r="B39" s="9"/>
      <c r="C39" s="9"/>
      <c r="D39" s="9"/>
      <c r="E39" s="9"/>
    </row>
    <row r="40" spans="1:5" ht="15.75" x14ac:dyDescent="0.25">
      <c r="A40" s="1"/>
      <c r="B40" s="1"/>
      <c r="C40" s="1"/>
      <c r="D40" s="1"/>
      <c r="E40" s="1"/>
    </row>
    <row r="41" spans="1:5" ht="15.75" x14ac:dyDescent="0.25">
      <c r="A41" s="1"/>
      <c r="B41" s="7"/>
      <c r="C41" s="7"/>
      <c r="D41" s="7"/>
      <c r="E41" s="7"/>
    </row>
    <row r="42" spans="1:5" ht="15.75" x14ac:dyDescent="0.25">
      <c r="A42" s="1"/>
      <c r="B42" s="7"/>
      <c r="C42" s="7"/>
      <c r="D42" s="7"/>
      <c r="E42" s="7"/>
    </row>
    <row r="43" spans="1:5" ht="15.75" x14ac:dyDescent="0.25">
      <c r="A43" s="1"/>
      <c r="B43" s="8"/>
      <c r="C43" s="8"/>
      <c r="D43" s="8"/>
      <c r="E43" s="8"/>
    </row>
    <row r="44" spans="1:5" ht="15.75" x14ac:dyDescent="0.25">
      <c r="A44" s="1"/>
      <c r="B44" s="1"/>
      <c r="C44" s="1"/>
      <c r="D44" s="1"/>
      <c r="E44" s="1"/>
    </row>
    <row r="45" spans="1:5" ht="15.75" x14ac:dyDescent="0.25">
      <c r="A45" s="1"/>
      <c r="B45" s="8"/>
      <c r="C45" s="8"/>
      <c r="D45" s="8"/>
      <c r="E45" s="8"/>
    </row>
    <row r="46" spans="1:5" ht="15.75" x14ac:dyDescent="0.25">
      <c r="A46" s="1"/>
      <c r="B46" s="1"/>
      <c r="C46" s="1"/>
      <c r="D46" s="1"/>
      <c r="E46" s="1"/>
    </row>
    <row r="47" spans="1:5" ht="15.75" x14ac:dyDescent="0.25">
      <c r="A47" s="2"/>
      <c r="B47" s="9"/>
      <c r="C47" s="9"/>
      <c r="D47" s="9"/>
      <c r="E47" s="9"/>
    </row>
    <row r="48" spans="1:5" ht="15.75" x14ac:dyDescent="0.25">
      <c r="A48" s="2"/>
      <c r="B48" s="9"/>
      <c r="C48" s="9"/>
      <c r="D48" s="9"/>
      <c r="E48" s="9"/>
    </row>
    <row r="49" spans="1:5" ht="15.75" x14ac:dyDescent="0.25">
      <c r="A49" s="1"/>
      <c r="B49" s="7"/>
      <c r="C49" s="7"/>
      <c r="D49" s="7"/>
      <c r="E49" s="7"/>
    </row>
    <row r="50" spans="1:5" ht="15.75" x14ac:dyDescent="0.25">
      <c r="A50" s="1"/>
      <c r="B50" s="9"/>
      <c r="C50" s="9"/>
      <c r="D50" s="9"/>
      <c r="E50" s="9"/>
    </row>
    <row r="51" spans="1:5" ht="15.75" x14ac:dyDescent="0.25">
      <c r="A51" s="1"/>
      <c r="B51" s="9"/>
      <c r="C51" s="9"/>
      <c r="D51" s="9"/>
      <c r="E51" s="9"/>
    </row>
    <row r="52" spans="1:5" ht="15.75" x14ac:dyDescent="0.25">
      <c r="A52" s="1"/>
      <c r="B52" s="1"/>
      <c r="C52" s="1"/>
      <c r="D52" s="1"/>
      <c r="E52" s="1"/>
    </row>
    <row r="53" spans="1:5" ht="15.75" x14ac:dyDescent="0.25">
      <c r="A53" s="1"/>
      <c r="B53" s="7"/>
      <c r="C53" s="7"/>
      <c r="D53" s="7"/>
      <c r="E53" s="7"/>
    </row>
    <row r="54" spans="1:5" ht="15.75" x14ac:dyDescent="0.25">
      <c r="A54" s="1"/>
      <c r="B54" s="7"/>
      <c r="C54" s="7"/>
      <c r="D54" s="7"/>
      <c r="E54" s="7"/>
    </row>
    <row r="55" spans="1:5" ht="15.75" x14ac:dyDescent="0.25">
      <c r="A55" s="1"/>
      <c r="B55" s="8"/>
      <c r="C55" s="8"/>
      <c r="D55" s="8"/>
      <c r="E55" s="8"/>
    </row>
    <row r="56" spans="1:5" ht="15.75" x14ac:dyDescent="0.25">
      <c r="A56" s="1"/>
      <c r="B56" s="1"/>
      <c r="C56" s="1"/>
      <c r="D56" s="1"/>
      <c r="E56" s="1"/>
    </row>
    <row r="57" spans="1:5" ht="15.75" x14ac:dyDescent="0.25">
      <c r="A57" s="1"/>
      <c r="B57" s="8"/>
      <c r="C57" s="8"/>
      <c r="D57" s="8"/>
      <c r="E57" s="8"/>
    </row>
    <row r="58" spans="1:5" ht="15.75" x14ac:dyDescent="0.25">
      <c r="A58" s="1"/>
      <c r="B58" s="1"/>
      <c r="C58" s="1"/>
      <c r="D58" s="1"/>
      <c r="E58" s="1"/>
    </row>
    <row r="59" spans="1:5" ht="15.75" x14ac:dyDescent="0.25">
      <c r="A59" s="2"/>
      <c r="B59" s="9"/>
      <c r="C59" s="9"/>
      <c r="D59" s="9"/>
      <c r="E59" s="9"/>
    </row>
    <row r="60" spans="1:5" ht="15.75" x14ac:dyDescent="0.25">
      <c r="A60" s="2"/>
      <c r="B60" s="9"/>
      <c r="C60" s="9"/>
      <c r="D60" s="9"/>
      <c r="E60" s="9"/>
    </row>
    <row r="61" spans="1:5" ht="15.75" x14ac:dyDescent="0.25">
      <c r="A61" s="1"/>
      <c r="B61" s="7"/>
      <c r="C61" s="7"/>
      <c r="D61" s="7"/>
      <c r="E61" s="7"/>
    </row>
    <row r="62" spans="1:5" ht="15.75" x14ac:dyDescent="0.25">
      <c r="A62" s="1"/>
      <c r="B62" s="9"/>
      <c r="C62" s="9"/>
      <c r="D62" s="9"/>
      <c r="E62" s="9"/>
    </row>
    <row r="63" spans="1:5" ht="15.75" x14ac:dyDescent="0.25">
      <c r="A63" s="1"/>
      <c r="B63" s="9"/>
      <c r="C63" s="9"/>
      <c r="D63" s="9"/>
      <c r="E63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EFB32-DD43-4451-B6C8-8EE04C5BA5E1}">
  <dimension ref="A1:D9"/>
  <sheetViews>
    <sheetView workbookViewId="0">
      <selection sqref="A1:D9"/>
    </sheetView>
  </sheetViews>
  <sheetFormatPr defaultRowHeight="15" x14ac:dyDescent="0.25"/>
  <sheetData>
    <row r="1" spans="1:4" x14ac:dyDescent="0.25">
      <c r="A1" t="s">
        <v>49</v>
      </c>
      <c r="B1" t="s">
        <v>58</v>
      </c>
      <c r="C1" t="s">
        <v>71</v>
      </c>
      <c r="D1" t="s">
        <v>72</v>
      </c>
    </row>
    <row r="2" spans="1:4" x14ac:dyDescent="0.25">
      <c r="A2" t="s">
        <v>73</v>
      </c>
      <c r="B2">
        <v>0</v>
      </c>
      <c r="C2">
        <v>71</v>
      </c>
      <c r="D2">
        <v>1.0124366197183099</v>
      </c>
    </row>
    <row r="3" spans="1:4" x14ac:dyDescent="0.25">
      <c r="A3" t="s">
        <v>73</v>
      </c>
      <c r="B3">
        <v>1</v>
      </c>
      <c r="C3">
        <v>39</v>
      </c>
      <c r="D3">
        <v>1.1112051282051201</v>
      </c>
    </row>
    <row r="4" spans="1:4" x14ac:dyDescent="0.25">
      <c r="A4" t="s">
        <v>74</v>
      </c>
      <c r="B4">
        <v>0</v>
      </c>
      <c r="C4">
        <v>75</v>
      </c>
      <c r="D4">
        <v>0.81642666666666597</v>
      </c>
    </row>
    <row r="5" spans="1:4" x14ac:dyDescent="0.25">
      <c r="A5" t="s">
        <v>74</v>
      </c>
      <c r="B5">
        <v>1</v>
      </c>
      <c r="C5">
        <v>39</v>
      </c>
      <c r="D5">
        <v>0.89925641025641001</v>
      </c>
    </row>
    <row r="6" spans="1:4" x14ac:dyDescent="0.25">
      <c r="A6" t="s">
        <v>75</v>
      </c>
      <c r="B6">
        <v>0</v>
      </c>
      <c r="C6">
        <v>75</v>
      </c>
      <c r="D6">
        <v>1.07073333333333</v>
      </c>
    </row>
    <row r="7" spans="1:4" x14ac:dyDescent="0.25">
      <c r="A7" t="s">
        <v>75</v>
      </c>
      <c r="B7">
        <v>1</v>
      </c>
      <c r="C7">
        <v>39</v>
      </c>
      <c r="D7">
        <v>1.15482051282051</v>
      </c>
    </row>
    <row r="8" spans="1:4" x14ac:dyDescent="0.25">
      <c r="A8" t="s">
        <v>76</v>
      </c>
      <c r="B8">
        <v>0</v>
      </c>
      <c r="C8">
        <v>79</v>
      </c>
      <c r="D8">
        <v>0.81217721518987296</v>
      </c>
    </row>
    <row r="9" spans="1:4" x14ac:dyDescent="0.25">
      <c r="A9" t="s">
        <v>76</v>
      </c>
      <c r="B9">
        <v>1</v>
      </c>
      <c r="C9">
        <v>56</v>
      </c>
      <c r="D9">
        <v>0.83078571428571402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CF6AD-1B7F-4C3E-842C-6E13406D07B2}">
  <dimension ref="A1:S33"/>
  <sheetViews>
    <sheetView tabSelected="1" topLeftCell="A19" workbookViewId="0">
      <selection activeCell="J28" sqref="J28"/>
    </sheetView>
  </sheetViews>
  <sheetFormatPr defaultRowHeight="15" x14ac:dyDescent="0.25"/>
  <cols>
    <col min="1" max="1" width="6.85546875" bestFit="1" customWidth="1"/>
    <col min="2" max="2" width="8.85546875" bestFit="1" customWidth="1"/>
    <col min="3" max="4" width="8.5703125" bestFit="1" customWidth="1"/>
    <col min="5" max="5" width="8.28515625" bestFit="1" customWidth="1"/>
    <col min="6" max="6" width="5" customWidth="1"/>
    <col min="7" max="7" width="9.140625" customWidth="1"/>
    <col min="8" max="8" width="5.42578125" customWidth="1"/>
    <col min="9" max="9" width="6.5703125" customWidth="1"/>
    <col min="10" max="10" width="10.5703125" bestFit="1" customWidth="1"/>
    <col min="11" max="11" width="7.7109375" customWidth="1"/>
    <col min="12" max="12" width="9.140625" customWidth="1"/>
    <col min="13" max="13" width="11.28515625" customWidth="1"/>
    <col min="14" max="14" width="10.5703125" bestFit="1" customWidth="1"/>
    <col min="15" max="15" width="12.28515625" customWidth="1"/>
    <col min="16" max="16" width="11.5703125" bestFit="1" customWidth="1"/>
    <col min="17" max="17" width="5" bestFit="1" customWidth="1"/>
    <col min="18" max="18" width="11.5703125" customWidth="1"/>
    <col min="19" max="19" width="5.42578125" bestFit="1" customWidth="1"/>
  </cols>
  <sheetData>
    <row r="1" spans="1:19" ht="15.75" x14ac:dyDescent="0.25">
      <c r="D1" s="35" t="s">
        <v>60</v>
      </c>
      <c r="E1" s="36"/>
    </row>
    <row r="2" spans="1:19" ht="15.75" x14ac:dyDescent="0.25">
      <c r="D2" s="37" t="s">
        <v>61</v>
      </c>
      <c r="E2" s="38">
        <v>60</v>
      </c>
    </row>
    <row r="3" spans="1:19" ht="15.75" x14ac:dyDescent="0.25">
      <c r="D3" s="37" t="s">
        <v>62</v>
      </c>
      <c r="E3" s="39">
        <v>0.66</v>
      </c>
    </row>
    <row r="4" spans="1:19" ht="15.75" x14ac:dyDescent="0.25">
      <c r="D4" s="37" t="s">
        <v>63</v>
      </c>
      <c r="E4" s="39">
        <v>0.02</v>
      </c>
    </row>
    <row r="5" spans="1:19" ht="15.75" x14ac:dyDescent="0.25">
      <c r="D5" s="37" t="s">
        <v>64</v>
      </c>
      <c r="E5" s="39">
        <v>0.1</v>
      </c>
    </row>
    <row r="6" spans="1:19" ht="15.75" x14ac:dyDescent="0.25">
      <c r="D6" s="40" t="s">
        <v>65</v>
      </c>
      <c r="E6" s="41">
        <v>0.2</v>
      </c>
    </row>
    <row r="10" spans="1:19" ht="34.5" customHeight="1" x14ac:dyDescent="0.25">
      <c r="A10" s="42"/>
      <c r="B10" s="70" t="s">
        <v>66</v>
      </c>
      <c r="C10" s="71"/>
      <c r="D10" s="71"/>
      <c r="E10" s="72"/>
      <c r="F10" s="73" t="s">
        <v>67</v>
      </c>
      <c r="G10" s="74"/>
      <c r="H10" s="75"/>
      <c r="I10" s="76" t="s">
        <v>68</v>
      </c>
      <c r="J10" s="77"/>
      <c r="K10" s="78" t="s">
        <v>69</v>
      </c>
      <c r="L10" s="79"/>
      <c r="M10" s="80"/>
      <c r="N10" s="67" t="s">
        <v>70</v>
      </c>
      <c r="O10" s="68"/>
      <c r="P10" s="69"/>
      <c r="Q10" s="81" t="s">
        <v>69</v>
      </c>
      <c r="R10" s="82"/>
      <c r="S10" s="83"/>
    </row>
    <row r="11" spans="1:19" ht="63" x14ac:dyDescent="0.25">
      <c r="A11" s="10" t="s">
        <v>49</v>
      </c>
      <c r="B11" s="14" t="s">
        <v>51</v>
      </c>
      <c r="C11" s="19" t="s">
        <v>52</v>
      </c>
      <c r="D11" s="19" t="s">
        <v>53</v>
      </c>
      <c r="E11" s="23" t="s">
        <v>54</v>
      </c>
      <c r="F11" s="27" t="s">
        <v>55</v>
      </c>
      <c r="G11" s="31" t="s">
        <v>56</v>
      </c>
      <c r="H11" s="23" t="s">
        <v>57</v>
      </c>
      <c r="I11" s="14" t="s">
        <v>58</v>
      </c>
      <c r="J11" s="23" t="s">
        <v>59</v>
      </c>
      <c r="K11" s="14" t="s">
        <v>55</v>
      </c>
      <c r="L11" s="19" t="s">
        <v>56</v>
      </c>
      <c r="M11" s="23" t="s">
        <v>57</v>
      </c>
      <c r="N11" s="14" t="s">
        <v>55</v>
      </c>
      <c r="O11" s="19" t="s">
        <v>56</v>
      </c>
      <c r="P11" s="23" t="s">
        <v>57</v>
      </c>
      <c r="Q11" s="14" t="s">
        <v>55</v>
      </c>
      <c r="R11" s="19" t="s">
        <v>56</v>
      </c>
      <c r="S11" s="23" t="s">
        <v>57</v>
      </c>
    </row>
    <row r="12" spans="1:19" x14ac:dyDescent="0.25">
      <c r="A12" s="11" t="s">
        <v>37</v>
      </c>
      <c r="B12" s="15">
        <v>84</v>
      </c>
      <c r="C12" s="20">
        <v>1</v>
      </c>
      <c r="D12" s="20">
        <v>1</v>
      </c>
      <c r="E12" s="24">
        <f ca="1">$C12*$F$2*$E12*($D12*(1-$F$3) + $F$3 * (1-$D12)) /60</f>
        <v>28.56</v>
      </c>
      <c r="F12" s="28">
        <f ca="1">E12*$F$4</f>
        <v>0.57120000000000004</v>
      </c>
      <c r="G12" s="32">
        <f ca="1">E12*$F$5</f>
        <v>2.8559999999999999</v>
      </c>
      <c r="H12" s="24">
        <f ca="1">E12*$F$6</f>
        <v>5.7119999999999997</v>
      </c>
      <c r="I12" s="28">
        <f>(71+64)/2</f>
        <v>67.5</v>
      </c>
      <c r="J12" s="24">
        <f>(62+55)/2</f>
        <v>58.5</v>
      </c>
      <c r="K12" s="28">
        <f ca="1">I12-F12</f>
        <v>66.928799999999995</v>
      </c>
      <c r="L12" s="32">
        <f ca="1">I12-G12</f>
        <v>64.644000000000005</v>
      </c>
      <c r="M12" s="24">
        <f ca="1">I12-H12</f>
        <v>61.787999999999997</v>
      </c>
      <c r="N12" s="28">
        <f ca="1">J12-F12</f>
        <v>57.928800000000003</v>
      </c>
      <c r="O12" s="32">
        <f ca="1">J12-G12</f>
        <v>55.643999999999998</v>
      </c>
      <c r="P12" s="24">
        <f ca="1">J12-H12</f>
        <v>52.787999999999997</v>
      </c>
      <c r="Q12" s="28">
        <f ca="1">O12-L12</f>
        <v>-9.0000000000000071</v>
      </c>
      <c r="R12" s="32">
        <f ca="1">O12-M12</f>
        <v>-6.1439999999999984</v>
      </c>
      <c r="S12" s="24">
        <f ca="1">O12-N12</f>
        <v>-2.2848000000000042</v>
      </c>
    </row>
    <row r="13" spans="1:19" x14ac:dyDescent="0.25">
      <c r="A13" s="12" t="s">
        <v>42</v>
      </c>
      <c r="B13" s="16">
        <v>79</v>
      </c>
      <c r="C13" s="21">
        <v>1</v>
      </c>
      <c r="D13" s="21">
        <v>1</v>
      </c>
      <c r="E13" s="25">
        <f ca="1">$C13*$F$2*$E13*($D13*(1-$F$3) + $F$3 * (1-$D13)) /60</f>
        <v>26.86</v>
      </c>
      <c r="F13" s="29">
        <f ca="1">E13*$F$4</f>
        <v>0.53720000000000001</v>
      </c>
      <c r="G13" s="33">
        <f ca="1">E13*$F$5</f>
        <v>2.6859999999999999</v>
      </c>
      <c r="H13" s="25">
        <f ca="1">E13*$F$6</f>
        <v>5.3719999999999999</v>
      </c>
      <c r="I13" s="29">
        <f>(58+51)/2</f>
        <v>54.5</v>
      </c>
      <c r="J13" s="25">
        <f>(52+45)/2</f>
        <v>48.5</v>
      </c>
      <c r="K13" s="29">
        <f ca="1">I13-F13</f>
        <v>53.962800000000001</v>
      </c>
      <c r="L13" s="33">
        <f ca="1">I13-G13</f>
        <v>51.814</v>
      </c>
      <c r="M13" s="25">
        <f ca="1">I13-H13</f>
        <v>49.128</v>
      </c>
      <c r="N13" s="29">
        <f ca="1">J13-F13</f>
        <v>47.962800000000001</v>
      </c>
      <c r="O13" s="33">
        <f ca="1">J13-G13</f>
        <v>45.814</v>
      </c>
      <c r="P13" s="25">
        <f ca="1">J13-H13</f>
        <v>43.128</v>
      </c>
      <c r="Q13" s="29">
        <f ca="1">O13-L13</f>
        <v>-6</v>
      </c>
      <c r="R13" s="33">
        <f ca="1">O13-M13</f>
        <v>-3.3140000000000001</v>
      </c>
      <c r="S13" s="25">
        <f ca="1">O13-N13</f>
        <v>-2.1488000000000014</v>
      </c>
    </row>
    <row r="14" spans="1:19" x14ac:dyDescent="0.25">
      <c r="A14" s="12" t="s">
        <v>44</v>
      </c>
      <c r="B14" s="17">
        <v>105</v>
      </c>
      <c r="C14" s="21">
        <v>1</v>
      </c>
      <c r="D14" s="21">
        <v>1</v>
      </c>
      <c r="E14" s="25">
        <f ca="1">$C14*$F$2*$E14*($D14*(1-$F$3) + $F$3 * (1-$D14)) /60</f>
        <v>35.700000000000003</v>
      </c>
      <c r="F14" s="29">
        <f ca="1">E14*$F$4</f>
        <v>0.71400000000000008</v>
      </c>
      <c r="G14" s="33">
        <f ca="1">E14*$F$5</f>
        <v>3.5700000000000003</v>
      </c>
      <c r="H14" s="25">
        <f ca="1">E14*$F$6</f>
        <v>7.1400000000000006</v>
      </c>
      <c r="I14" s="29">
        <f>(76+66)/2</f>
        <v>71</v>
      </c>
      <c r="J14" s="25">
        <f>(68+57)/2</f>
        <v>62.5</v>
      </c>
      <c r="K14" s="29">
        <f ca="1">I14-F14</f>
        <v>70.286000000000001</v>
      </c>
      <c r="L14" s="33">
        <f ca="1">I14-G14</f>
        <v>67.430000000000007</v>
      </c>
      <c r="M14" s="25">
        <f ca="1">I14-H14</f>
        <v>63.86</v>
      </c>
      <c r="N14" s="29">
        <f ca="1">J14-F14</f>
        <v>61.786000000000001</v>
      </c>
      <c r="O14" s="33">
        <f ca="1">J14-G14</f>
        <v>58.93</v>
      </c>
      <c r="P14" s="25">
        <f ca="1">J14-H14</f>
        <v>55.36</v>
      </c>
      <c r="Q14" s="29">
        <f ca="1">O14-L14</f>
        <v>-8.5000000000000071</v>
      </c>
      <c r="R14" s="33">
        <f ca="1">O14-M14</f>
        <v>-4.93</v>
      </c>
      <c r="S14" s="25">
        <f ca="1">O14-N14</f>
        <v>-2.8560000000000016</v>
      </c>
    </row>
    <row r="15" spans="1:19" x14ac:dyDescent="0.25">
      <c r="A15" s="12" t="s">
        <v>47</v>
      </c>
      <c r="B15" s="17">
        <v>81</v>
      </c>
      <c r="C15" s="21">
        <v>1</v>
      </c>
      <c r="D15" s="21">
        <v>1</v>
      </c>
      <c r="E15" s="25">
        <f ca="1">$C15*$F$2*$E15*($D15*(1-$F$3) + $F$3 * (1-$D15)) /60</f>
        <v>27.54</v>
      </c>
      <c r="F15" s="29">
        <f ca="1">E15*$F$4</f>
        <v>0.55079999999999996</v>
      </c>
      <c r="G15" s="33">
        <f ca="1">E15*$F$5</f>
        <v>2.754</v>
      </c>
      <c r="H15" s="25">
        <f ca="1">E15*$F$6</f>
        <v>5.508</v>
      </c>
      <c r="I15" s="29">
        <f>(61+43)/2</f>
        <v>52</v>
      </c>
      <c r="J15" s="25">
        <f>(53+41)/2</f>
        <v>47</v>
      </c>
      <c r="K15" s="29">
        <f ca="1">I15-F15</f>
        <v>51.449199999999998</v>
      </c>
      <c r="L15" s="33">
        <f ca="1">I15-G15</f>
        <v>49.246000000000002</v>
      </c>
      <c r="M15" s="25">
        <f ca="1">I15-H15</f>
        <v>46.491999999999997</v>
      </c>
      <c r="N15" s="29">
        <f ca="1">J15-F15</f>
        <v>46.449199999999998</v>
      </c>
      <c r="O15" s="33">
        <f ca="1">J15-G15</f>
        <v>44.246000000000002</v>
      </c>
      <c r="P15" s="25">
        <f ca="1">J15-H15</f>
        <v>41.491999999999997</v>
      </c>
      <c r="Q15" s="29">
        <f ca="1">O15-L15</f>
        <v>-5</v>
      </c>
      <c r="R15" s="33">
        <f ca="1">O15-M15</f>
        <v>-2.2459999999999951</v>
      </c>
      <c r="S15" s="25">
        <f ca="1">O15-N15</f>
        <v>-2.2031999999999954</v>
      </c>
    </row>
    <row r="16" spans="1:19" x14ac:dyDescent="0.25">
      <c r="A16" s="13" t="s">
        <v>50</v>
      </c>
      <c r="B16" s="18">
        <v>44</v>
      </c>
      <c r="C16" s="22">
        <v>1</v>
      </c>
      <c r="D16" s="22">
        <v>0.5</v>
      </c>
      <c r="E16" s="26">
        <f ca="1">$C16*$F$2*$E16*($D16*(1-$F$3) + $F$3 * (1-$D16)) /60</f>
        <v>7.4799999999999995</v>
      </c>
      <c r="F16" s="30">
        <f ca="1">E16*$F$4</f>
        <v>0.14959999999999998</v>
      </c>
      <c r="G16" s="34">
        <f ca="1">E16*$F$5</f>
        <v>0.748</v>
      </c>
      <c r="H16" s="26">
        <f ca="1">E16*$F$6</f>
        <v>1.496</v>
      </c>
      <c r="I16" s="30">
        <f>(55+48)/2</f>
        <v>51.5</v>
      </c>
      <c r="J16" s="26">
        <f>(54.6+45)/2</f>
        <v>49.8</v>
      </c>
      <c r="K16" s="30">
        <f ca="1">I16-F16</f>
        <v>51.3504</v>
      </c>
      <c r="L16" s="34">
        <f ca="1">I16-G16</f>
        <v>50.752000000000002</v>
      </c>
      <c r="M16" s="26">
        <f ca="1">I16-H16</f>
        <v>50.003999999999998</v>
      </c>
      <c r="N16" s="30">
        <f ca="1">J16-F16</f>
        <v>49.650399999999998</v>
      </c>
      <c r="O16" s="34">
        <f ca="1">J16-G16</f>
        <v>49.052</v>
      </c>
      <c r="P16" s="26">
        <f ca="1">J16-H16</f>
        <v>48.303999999999995</v>
      </c>
      <c r="Q16" s="30">
        <f ca="1">O16-L16</f>
        <v>-1.7000000000000028</v>
      </c>
      <c r="R16" s="34">
        <f ca="1">O16-M16</f>
        <v>-0.95199999999999818</v>
      </c>
      <c r="S16" s="26">
        <f ca="1">O16-N16</f>
        <v>-0.59839999999999804</v>
      </c>
    </row>
    <row r="18" spans="1:18" x14ac:dyDescent="0.25">
      <c r="A18" s="43" t="s">
        <v>58</v>
      </c>
    </row>
    <row r="19" spans="1:18" ht="15.75" customHeight="1" x14ac:dyDescent="0.25">
      <c r="A19" s="42"/>
      <c r="B19" s="70" t="s">
        <v>66</v>
      </c>
      <c r="C19" s="71"/>
      <c r="D19" s="71"/>
      <c r="E19" s="72"/>
      <c r="F19" s="73" t="s">
        <v>67</v>
      </c>
      <c r="G19" s="74"/>
      <c r="H19" s="75"/>
      <c r="I19" s="76" t="s">
        <v>92</v>
      </c>
      <c r="J19" s="77"/>
      <c r="K19" s="78" t="s">
        <v>95</v>
      </c>
      <c r="L19" s="79"/>
      <c r="M19" s="80"/>
      <c r="N19" s="67" t="s">
        <v>93</v>
      </c>
      <c r="O19" s="68"/>
      <c r="P19" s="69"/>
    </row>
    <row r="20" spans="1:18" ht="63" x14ac:dyDescent="0.25">
      <c r="A20" s="10" t="s">
        <v>49</v>
      </c>
      <c r="B20" s="14" t="s">
        <v>51</v>
      </c>
      <c r="C20" s="19" t="s">
        <v>52</v>
      </c>
      <c r="D20" s="19" t="s">
        <v>53</v>
      </c>
      <c r="E20" s="23" t="s">
        <v>54</v>
      </c>
      <c r="F20" s="27" t="s">
        <v>55</v>
      </c>
      <c r="G20" s="31" t="s">
        <v>56</v>
      </c>
      <c r="H20" s="23" t="s">
        <v>57</v>
      </c>
      <c r="I20" s="14" t="s">
        <v>91</v>
      </c>
      <c r="J20" s="23" t="s">
        <v>88</v>
      </c>
      <c r="K20" s="14" t="s">
        <v>55</v>
      </c>
      <c r="L20" s="19" t="s">
        <v>56</v>
      </c>
      <c r="M20" s="23" t="s">
        <v>57</v>
      </c>
      <c r="N20" s="14" t="s">
        <v>55</v>
      </c>
      <c r="O20" s="19" t="s">
        <v>56</v>
      </c>
      <c r="P20" s="23" t="s">
        <v>57</v>
      </c>
      <c r="R20" s="59" t="s">
        <v>96</v>
      </c>
    </row>
    <row r="21" spans="1:18" x14ac:dyDescent="0.25">
      <c r="A21" s="11" t="s">
        <v>37</v>
      </c>
      <c r="B21" s="15">
        <v>84</v>
      </c>
      <c r="C21" s="20">
        <v>1</v>
      </c>
      <c r="D21" s="20">
        <v>1</v>
      </c>
      <c r="E21" s="24">
        <f ca="1">$C21*$F$2*$E21*($D21*(1-$F$3) + $F$3 * (1-$D21)) /60</f>
        <v>28.56</v>
      </c>
      <c r="F21" s="28">
        <v>0.57120000000000004</v>
      </c>
      <c r="G21" s="32">
        <v>2.8559999999999999</v>
      </c>
      <c r="H21" s="24">
        <v>5.7119999999999997</v>
      </c>
      <c r="I21" s="28">
        <v>67.5</v>
      </c>
      <c r="J21" s="60">
        <v>451230</v>
      </c>
      <c r="K21" s="44">
        <f>F21/$I21</f>
        <v>8.4622222222222234E-3</v>
      </c>
      <c r="L21" s="47">
        <f>G21/$I21</f>
        <v>4.2311111111111112E-2</v>
      </c>
      <c r="M21" s="50">
        <f>H21/$I21</f>
        <v>8.4622222222222224E-2</v>
      </c>
      <c r="N21" s="61">
        <f>(K21*$R$21*-1)*$J21/260</f>
        <v>4.2589941333333341</v>
      </c>
      <c r="O21" s="62">
        <f t="shared" ref="O21:O24" si="0">(L21*$R$21*-1)*$J21/260</f>
        <v>21.294970666666668</v>
      </c>
      <c r="P21" s="60">
        <f t="shared" ref="P21:P24" si="1">(M21*$R$21*-1)*$J21/260</f>
        <v>42.589941333333336</v>
      </c>
      <c r="R21">
        <v>-0.28999999999999998</v>
      </c>
    </row>
    <row r="22" spans="1:18" x14ac:dyDescent="0.25">
      <c r="A22" s="12" t="s">
        <v>42</v>
      </c>
      <c r="B22" s="16">
        <v>79</v>
      </c>
      <c r="C22" s="21">
        <v>1</v>
      </c>
      <c r="D22" s="21">
        <v>1</v>
      </c>
      <c r="E22" s="25">
        <f ca="1">$C22*$F$2*$E22*($D22*(1-$F$3) + $F$3 * (1-$D22)) /60</f>
        <v>26.86</v>
      </c>
      <c r="F22" s="29">
        <v>0.53720000000000001</v>
      </c>
      <c r="G22" s="33">
        <v>2.6859999999999999</v>
      </c>
      <c r="H22" s="25">
        <v>5.3719999999999999</v>
      </c>
      <c r="I22" s="29">
        <v>54.5</v>
      </c>
      <c r="J22" s="56">
        <v>390834.73684210528</v>
      </c>
      <c r="K22" s="45">
        <f t="shared" ref="K22:K24" si="2">F22/$I22</f>
        <v>9.8568807339449536E-3</v>
      </c>
      <c r="L22" s="48">
        <f t="shared" ref="L22:L24" si="3">G22/$I22</f>
        <v>4.9284403669724766E-2</v>
      </c>
      <c r="M22" s="51">
        <f t="shared" ref="M22:M24" si="4">H22/$I22</f>
        <v>9.8568807339449532E-2</v>
      </c>
      <c r="N22" s="55">
        <f t="shared" ref="N22:N24" si="5">(K22*$R$21*-1)*$J22/260</f>
        <v>4.2969203940125542</v>
      </c>
      <c r="O22" s="63">
        <f t="shared" si="0"/>
        <v>21.484601970062769</v>
      </c>
      <c r="P22" s="56">
        <f t="shared" si="1"/>
        <v>42.969203940125539</v>
      </c>
    </row>
    <row r="23" spans="1:18" x14ac:dyDescent="0.25">
      <c r="A23" s="12" t="s">
        <v>44</v>
      </c>
      <c r="B23" s="17">
        <v>105</v>
      </c>
      <c r="C23" s="21">
        <v>1</v>
      </c>
      <c r="D23" s="21">
        <v>1</v>
      </c>
      <c r="E23" s="25">
        <f ca="1">$C23*$F$2*$E23*($D23*(1-$F$3) + $F$3 * (1-$D23)) /60</f>
        <v>35.700000000000003</v>
      </c>
      <c r="F23" s="29">
        <v>0.71400000000000008</v>
      </c>
      <c r="G23" s="33">
        <v>3.5700000000000003</v>
      </c>
      <c r="H23" s="25">
        <v>7.1400000000000006</v>
      </c>
      <c r="I23" s="29">
        <v>71</v>
      </c>
      <c r="J23" s="56">
        <v>561613.68421052629</v>
      </c>
      <c r="K23" s="45">
        <f t="shared" si="2"/>
        <v>1.0056338028169015E-2</v>
      </c>
      <c r="L23" s="48">
        <f>G23/$I23</f>
        <v>5.0281690140845076E-2</v>
      </c>
      <c r="M23" s="51">
        <f t="shared" si="4"/>
        <v>0.10056338028169015</v>
      </c>
      <c r="N23" s="55">
        <f t="shared" si="5"/>
        <v>6.2994436323202372</v>
      </c>
      <c r="O23" s="63">
        <f t="shared" si="0"/>
        <v>31.497218161601186</v>
      </c>
      <c r="P23" s="56">
        <f t="shared" si="1"/>
        <v>62.994436323202372</v>
      </c>
    </row>
    <row r="24" spans="1:18" x14ac:dyDescent="0.25">
      <c r="A24" s="13" t="s">
        <v>47</v>
      </c>
      <c r="B24" s="18">
        <v>81</v>
      </c>
      <c r="C24" s="22">
        <v>1</v>
      </c>
      <c r="D24" s="22">
        <v>1</v>
      </c>
      <c r="E24" s="26">
        <f ca="1">$C24*$F$2*$E24*($D24*(1-$F$3) + $F$3 * (1-$D24)) /60</f>
        <v>27.54</v>
      </c>
      <c r="F24" s="30">
        <v>0.55079999999999996</v>
      </c>
      <c r="G24" s="34">
        <v>2.754</v>
      </c>
      <c r="H24" s="26">
        <v>5.508</v>
      </c>
      <c r="I24" s="30">
        <v>52</v>
      </c>
      <c r="J24" s="58">
        <v>587900.4444444445</v>
      </c>
      <c r="K24" s="46">
        <f t="shared" si="2"/>
        <v>1.0592307692307691E-2</v>
      </c>
      <c r="L24" s="49">
        <f t="shared" si="3"/>
        <v>5.2961538461538463E-2</v>
      </c>
      <c r="M24" s="52">
        <f t="shared" si="4"/>
        <v>0.10592307692307693</v>
      </c>
      <c r="N24" s="57">
        <f t="shared" si="5"/>
        <v>6.9457480615384606</v>
      </c>
      <c r="O24" s="64">
        <f t="shared" si="0"/>
        <v>34.728740307692306</v>
      </c>
      <c r="P24" s="58">
        <f t="shared" si="1"/>
        <v>69.457480615384611</v>
      </c>
    </row>
    <row r="25" spans="1:18" x14ac:dyDescent="0.25">
      <c r="N25" s="65">
        <f>SUM(N21:N24)</f>
        <v>21.801106221204584</v>
      </c>
      <c r="O25" s="65">
        <f>SUM(O21:O24)</f>
        <v>109.00553110602293</v>
      </c>
      <c r="P25" s="65">
        <f>SUM(P21:P24)</f>
        <v>218.01106221204586</v>
      </c>
      <c r="R25" s="66" t="s">
        <v>97</v>
      </c>
    </row>
    <row r="27" spans="1:18" ht="15.75" customHeight="1" x14ac:dyDescent="0.25">
      <c r="A27" s="42"/>
      <c r="B27" s="70" t="s">
        <v>66</v>
      </c>
      <c r="C27" s="71"/>
      <c r="D27" s="71"/>
      <c r="E27" s="72"/>
      <c r="F27" s="73" t="s">
        <v>67</v>
      </c>
      <c r="G27" s="74"/>
      <c r="H27" s="75"/>
      <c r="I27" s="76" t="s">
        <v>92</v>
      </c>
      <c r="J27" s="77"/>
      <c r="K27" s="78" t="s">
        <v>95</v>
      </c>
      <c r="L27" s="79"/>
      <c r="M27" s="80"/>
      <c r="N27" s="67" t="s">
        <v>94</v>
      </c>
      <c r="O27" s="68"/>
      <c r="P27" s="69"/>
    </row>
    <row r="28" spans="1:18" ht="63" x14ac:dyDescent="0.25">
      <c r="A28" s="10" t="s">
        <v>49</v>
      </c>
      <c r="B28" s="14" t="s">
        <v>51</v>
      </c>
      <c r="C28" s="19" t="s">
        <v>52</v>
      </c>
      <c r="D28" s="19" t="s">
        <v>53</v>
      </c>
      <c r="E28" s="23" t="s">
        <v>54</v>
      </c>
      <c r="F28" s="27" t="s">
        <v>55</v>
      </c>
      <c r="G28" s="31" t="s">
        <v>56</v>
      </c>
      <c r="H28" s="23" t="s">
        <v>57</v>
      </c>
      <c r="I28" s="14" t="s">
        <v>91</v>
      </c>
      <c r="J28" s="23" t="s">
        <v>89</v>
      </c>
      <c r="K28" s="14" t="s">
        <v>55</v>
      </c>
      <c r="L28" s="19" t="s">
        <v>56</v>
      </c>
      <c r="M28" s="23" t="s">
        <v>57</v>
      </c>
      <c r="N28" s="14" t="s">
        <v>55</v>
      </c>
      <c r="O28" s="19" t="s">
        <v>56</v>
      </c>
      <c r="P28" s="23" t="s">
        <v>57</v>
      </c>
      <c r="R28" s="59" t="s">
        <v>90</v>
      </c>
    </row>
    <row r="29" spans="1:18" x14ac:dyDescent="0.25">
      <c r="A29" s="11" t="s">
        <v>37</v>
      </c>
      <c r="B29" s="15">
        <v>84</v>
      </c>
      <c r="C29" s="20">
        <v>1</v>
      </c>
      <c r="D29" s="20">
        <v>1</v>
      </c>
      <c r="E29" s="24">
        <f ca="1">$C29*$F$2*$E29*($D29*(1-$F$3) + $F$3 * (1-$D29)) /60</f>
        <v>28.56</v>
      </c>
      <c r="F29" s="28">
        <v>0.57120000000000004</v>
      </c>
      <c r="G29" s="32">
        <v>2.8559999999999999</v>
      </c>
      <c r="H29" s="24">
        <v>5.7119999999999997</v>
      </c>
      <c r="I29" s="28">
        <v>58.5</v>
      </c>
      <c r="J29" s="56">
        <v>1109558</v>
      </c>
      <c r="K29" s="44">
        <f>F29/$I29</f>
        <v>9.7641025641025652E-3</v>
      </c>
      <c r="L29" s="47">
        <f t="shared" ref="L29:L32" si="6">G29/$I29</f>
        <v>4.8820512820512821E-2</v>
      </c>
      <c r="M29" s="50">
        <f t="shared" ref="M29:M32" si="7">H29/$I29</f>
        <v>9.7641025641025642E-2</v>
      </c>
      <c r="N29" s="61">
        <f>(K29*$R$29*-1)*$J29/365</f>
        <v>24.635851051071302</v>
      </c>
      <c r="O29" s="62">
        <f t="shared" ref="O29:O32" si="8">(L29*$R$29*-1)*$J29/365</f>
        <v>123.17925525535649</v>
      </c>
      <c r="P29" s="60">
        <f t="shared" ref="P29:P32" si="9">(M29*$R$29*-1)*$J29/365</f>
        <v>246.35851051071299</v>
      </c>
      <c r="R29">
        <v>-0.83</v>
      </c>
    </row>
    <row r="30" spans="1:18" x14ac:dyDescent="0.25">
      <c r="A30" s="12" t="s">
        <v>42</v>
      </c>
      <c r="B30" s="16">
        <v>79</v>
      </c>
      <c r="C30" s="21">
        <v>1</v>
      </c>
      <c r="D30" s="21">
        <v>1</v>
      </c>
      <c r="E30" s="25">
        <f ca="1">$C30*$F$2*$E30*($D30*(1-$F$3) + $F$3 * (1-$D30)) /60</f>
        <v>26.86</v>
      </c>
      <c r="F30" s="29">
        <v>0.53720000000000001</v>
      </c>
      <c r="G30" s="33">
        <v>2.6859999999999999</v>
      </c>
      <c r="H30" s="25">
        <v>5.3719999999999999</v>
      </c>
      <c r="I30" s="29">
        <v>48.5</v>
      </c>
      <c r="J30" s="56">
        <v>989968.26315789472</v>
      </c>
      <c r="K30" s="45">
        <f t="shared" ref="K30:K32" si="10">F30/$I30</f>
        <v>1.1076288659793815E-2</v>
      </c>
      <c r="L30" s="48">
        <f t="shared" si="6"/>
        <v>5.5381443298969074E-2</v>
      </c>
      <c r="M30" s="51">
        <f t="shared" si="7"/>
        <v>0.11076288659793815</v>
      </c>
      <c r="N30" s="55">
        <f t="shared" ref="N30:N32" si="11">(K30*$R$29*-1)*$J30/365</f>
        <v>24.934505821425759</v>
      </c>
      <c r="O30" s="63">
        <f t="shared" si="8"/>
        <v>124.67252910712878</v>
      </c>
      <c r="P30" s="56">
        <f t="shared" si="9"/>
        <v>249.34505821425756</v>
      </c>
    </row>
    <row r="31" spans="1:18" x14ac:dyDescent="0.25">
      <c r="A31" s="12" t="s">
        <v>44</v>
      </c>
      <c r="B31" s="17">
        <v>105</v>
      </c>
      <c r="C31" s="21">
        <v>1</v>
      </c>
      <c r="D31" s="21">
        <v>1</v>
      </c>
      <c r="E31" s="25">
        <f ca="1">$C31*$F$2*$E31*($D31*(1-$F$3) + $F$3 * (1-$D31)) /60</f>
        <v>35.700000000000003</v>
      </c>
      <c r="F31" s="29">
        <v>0.71400000000000008</v>
      </c>
      <c r="G31" s="33">
        <v>3.5700000000000003</v>
      </c>
      <c r="H31" s="25">
        <v>7.1400000000000006</v>
      </c>
      <c r="I31" s="29">
        <v>62.5</v>
      </c>
      <c r="J31" s="56">
        <v>1490124.3157894737</v>
      </c>
      <c r="K31" s="45">
        <f t="shared" si="10"/>
        <v>1.1424000000000002E-2</v>
      </c>
      <c r="L31" s="48">
        <f t="shared" si="6"/>
        <v>5.7120000000000004E-2</v>
      </c>
      <c r="M31" s="51">
        <f t="shared" si="7"/>
        <v>0.11424000000000001</v>
      </c>
      <c r="N31" s="55">
        <f t="shared" si="11"/>
        <v>38.710245348960356</v>
      </c>
      <c r="O31" s="63">
        <f t="shared" si="8"/>
        <v>193.55122674480177</v>
      </c>
      <c r="P31" s="56">
        <f t="shared" si="9"/>
        <v>387.10245348960353</v>
      </c>
    </row>
    <row r="32" spans="1:18" x14ac:dyDescent="0.25">
      <c r="A32" s="13" t="s">
        <v>47</v>
      </c>
      <c r="B32" s="18">
        <v>81</v>
      </c>
      <c r="C32" s="22">
        <v>1</v>
      </c>
      <c r="D32" s="22">
        <v>1</v>
      </c>
      <c r="E32" s="26">
        <f ca="1">$C32*$F$2*$E32*($D32*(1-$F$3) + $F$3 * (1-$D32)) /60</f>
        <v>27.54</v>
      </c>
      <c r="F32" s="30">
        <v>0.55079999999999996</v>
      </c>
      <c r="G32" s="34">
        <v>2.754</v>
      </c>
      <c r="H32" s="26">
        <v>5.508</v>
      </c>
      <c r="I32" s="30">
        <v>47</v>
      </c>
      <c r="J32" s="58">
        <v>1105200.5555555555</v>
      </c>
      <c r="K32" s="46">
        <f t="shared" si="10"/>
        <v>1.1719148936170211E-2</v>
      </c>
      <c r="L32" s="49">
        <f t="shared" si="6"/>
        <v>5.8595744680851061E-2</v>
      </c>
      <c r="M32" s="52">
        <f t="shared" si="7"/>
        <v>0.11719148936170212</v>
      </c>
      <c r="N32" s="57">
        <f t="shared" si="11"/>
        <v>29.45251569688137</v>
      </c>
      <c r="O32" s="64">
        <f t="shared" si="8"/>
        <v>147.26257848440684</v>
      </c>
      <c r="P32" s="58">
        <f t="shared" si="9"/>
        <v>294.52515696881369</v>
      </c>
    </row>
    <row r="33" spans="14:16" x14ac:dyDescent="0.25">
      <c r="N33" s="65">
        <f>SUM(N29:N32)</f>
        <v>117.73311791833879</v>
      </c>
      <c r="O33" s="65">
        <f>SUM(O29:O32)</f>
        <v>588.6655895916939</v>
      </c>
      <c r="P33" s="65">
        <f>SUM(P29:P32)</f>
        <v>1177.3311791833878</v>
      </c>
    </row>
  </sheetData>
  <mergeCells count="16">
    <mergeCell ref="Q10:S10"/>
    <mergeCell ref="B10:E10"/>
    <mergeCell ref="F10:H10"/>
    <mergeCell ref="I10:J10"/>
    <mergeCell ref="K10:M10"/>
    <mergeCell ref="N10:P10"/>
    <mergeCell ref="N19:P19"/>
    <mergeCell ref="N27:P27"/>
    <mergeCell ref="B19:E19"/>
    <mergeCell ref="F19:H19"/>
    <mergeCell ref="I19:J19"/>
    <mergeCell ref="K19:M19"/>
    <mergeCell ref="B27:E27"/>
    <mergeCell ref="F27:H27"/>
    <mergeCell ref="I27:J27"/>
    <mergeCell ref="K27:M2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Wkdy Peak Trip Count</vt:lpstr>
      <vt:lpstr>TSP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Fan</dc:creator>
  <cp:lastModifiedBy>Bonnie Fan</cp:lastModifiedBy>
  <dcterms:created xsi:type="dcterms:W3CDTF">2020-05-05T15:00:42Z</dcterms:created>
  <dcterms:modified xsi:type="dcterms:W3CDTF">2020-05-07T03:17:26Z</dcterms:modified>
</cp:coreProperties>
</file>